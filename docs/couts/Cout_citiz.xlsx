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Justification" sheetId="2" state="visible" r:id="rId4"/>
    <sheet name="Hypothèses" sheetId="3" state="visible" r:id="rId5"/>
    <sheet name="Calcu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<sst xmlns="http://schemas.openxmlformats.org/spreadsheetml/2006/main" count="327" uniqueCount="252">
  <si>
    <t xml:space="preserve">Coût d’une station Citiz (2 voitures) — synthèse</t>
  </si>
  <si>
    <t xml:space="preserve">Aucun chiffre officiel n’a été communiqué par Citiz : ces montants sont reconstitués à partir de documents publics (onglet Hypothèses) et vérifiés avec trois repères indépendants.</t>
  </si>
  <si>
    <t xml:space="preserve">Indicateur</t>
  </si>
  <si>
    <t xml:space="preserve">Bas</t>
  </si>
  <si>
    <t xml:space="preserve">Défaut</t>
  </si>
  <si>
    <t xml:space="preserve">Haut</t>
  </si>
  <si>
    <t xml:space="preserve">À quoi il sert</t>
  </si>
  <si>
    <t xml:space="preserve">Investissement à l’ouverture (station hybride)</t>
  </si>
  <si>
    <t xml:space="preserve">Ce que coûte l’ouverture : place, boîtiers, achat des 2 voitures</t>
  </si>
  <si>
    <t xml:space="preserve">Investissement à l’ouverture (station électrique)</t>
  </si>
  <si>
    <t xml:space="preserve">Idem + borne de recharge</t>
  </si>
  <si>
    <t xml:space="preserve">Coût annuel complet par voiture</t>
  </si>
  <si>
    <t xml:space="preserve">Comparer avec les repères Citiz (8 500 à 10 000 € par voiture)</t>
  </si>
  <si>
    <t xml:space="preserve">Coût annuel complet par station</t>
  </si>
  <si>
    <t xml:space="preserve">À UTILISER DANS L’OPTIMISATION (comparable au coût annuel des vélos)</t>
  </si>
  <si>
    <t xml:space="preserve">Coût annuel complet par station électrique</t>
  </si>
  <si>
    <t xml:space="preserve">Si la station est électrique</t>
  </si>
  <si>
    <t xml:space="preserve">Total décaissé la première année</t>
  </si>
  <si>
    <t xml:space="preserve">Pour le business case : effort financier de départ</t>
  </si>
  <si>
    <t xml:space="preserve">Comment lire : « Défaut » = valeur pour la démo ; « Bas » et « Haut » = fourchette pour tester la solidité de la recommandation.</t>
  </si>
  <si>
    <t xml:space="preserve">Vérification (onglet Calcul, section 5) : en valeur par défaut, notre coût par voiture (10 373 €) est dans le seuil de rentabilité donné par Citiz à l’équipe (700 à 900 € par mois, soit 8 400 à 10 800 € par an) et proche de ses montants réels (8 520 à 10 000 €). En valeur basse, l’écart correspond aux frais de structure non chiffrés (personnel, plateforme, assistance, nettoyage). La valeur haute dépasse les repères : c’est un plafond prudent.</t>
  </si>
  <si>
    <t xml:space="preserve">Limites : chiffres issus d’autres territoires (Genevois français, Belgique) ou de moyennes nationales ; coefficient d’usure et durée d’amortissement du boîtier = hypothèses de l’équipe ; recettes non déduites (le coût présenté est un coût brut, avant recettes des locations).</t>
  </si>
  <si>
    <t xml:space="preserve">D’où viennent les chiffres (valeurs par défaut)</t>
  </si>
  <si>
    <t xml:space="preserve">Principe : Citiz ne publie pas ses coûts et aucun jeu de données ouvert ne les contient. On reconstitue donc le coût d’une station comme dans un business plan : on liste tout ce qu’elle coûte, on trouve un prix public pour chaque poste, puis on vérifie le total avec ce que Citiz facture réellement.</t>
  </si>
  <si>
    <t xml:space="preserve">Chiffre</t>
  </si>
  <si>
    <t xml:space="preserve">Valeur</t>
  </si>
  <si>
    <t xml:space="preserve">D’où il vient</t>
  </si>
  <si>
    <t xml:space="preserve">Comment on l’obtient</t>
  </si>
  <si>
    <t xml:space="preserve">ÉTAPE 1 — CE QU’ON PAIE À L’OUVERTURE</t>
  </si>
  <si>
    <t xml:space="preserve">Voitures par station</t>
  </si>
  <si>
    <t xml:space="preserve">2</t>
  </si>
  <si>
    <t xml:space="preserve">Convention signée par Citiz avec le Genevois français</t>
  </si>
  <si>
    <t xml:space="preserve">Citiz y écrit qu’une station a besoin de 2 voitures pour être attractive.</t>
  </si>
  <si>
    <t xml:space="preserve">Aménagement de la place</t>
  </si>
  <si>
    <t xml:space="preserve">1 200 €</t>
  </si>
  <si>
    <t xml:space="preserve">Dossier de presse du lancement de Citiz (2016) ; réponse de Citiz à l’équipe (2026)</t>
  </si>
  <si>
    <t xml:space="preserve">Peinture au sol + panneau. Bas : 0 €, car selon Citiz certaines collectivités prennent en charge l’aménagement.</t>
  </si>
  <si>
    <t xml:space="preserve">Boîtier électronique</t>
  </si>
  <si>
    <t xml:space="preserve">4 000 € HT par voiture</t>
  </si>
  <si>
    <t xml:space="preserve">Même convention Citiz</t>
  </si>
  <si>
    <t xml:space="preserve">Boîtier qui ouvre la voiture avec la carte ou l’appli. Montant donné tel quel.</t>
  </si>
  <si>
    <t xml:space="preserve">Prix d’une voiture</t>
  </si>
  <si>
    <t xml:space="preserve">24 490 €</t>
  </si>
  <si>
    <t xml:space="preserve">Prix catalogue 2026 de la Toyota Yaris hybride</t>
  </si>
  <si>
    <t xml:space="preserve">Citiz utilise des Yaris et des Clio. Bas : 12 000 € (bas de la fourchette du Cerema, organisme public). Haut : 26 500 € (Yaris version professionnelle).</t>
  </si>
  <si>
    <t xml:space="preserve">Investissement total</t>
  </si>
  <si>
    <t xml:space="preserve">58 180 €</t>
  </si>
  <si>
    <t xml:space="preserve">Calcul</t>
  </si>
  <si>
    <t xml:space="preserve">1 200 + 2 × 4 000 + 2 × 24 490.</t>
  </si>
  <si>
    <t xml:space="preserve">ÉTAPE 2 — CE QUE COÛTE UNE VOITURE CHAQUE ANNÉE</t>
  </si>
  <si>
    <t xml:space="preserve">Amortissement de la voiture</t>
  </si>
  <si>
    <t xml:space="preserve">4 898 €</t>
  </si>
  <si>
    <t xml:space="preserve">Durée de 5 ans retenue par le Cerema pour une voiture d’autopartage</t>
  </si>
  <si>
    <t xml:space="preserve">24 490 € ÷ 5 ans.</t>
  </si>
  <si>
    <t xml:space="preserve">Amortissement du boîtier</t>
  </si>
  <si>
    <t xml:space="preserve">800 €</t>
  </si>
  <si>
    <t xml:space="preserve">Hypothèse de l’équipe : même durée que la voiture</t>
  </si>
  <si>
    <t xml:space="preserve">4 000 € ÷ 5 ans.</t>
  </si>
  <si>
    <t xml:space="preserve">Assurance tous risques</t>
  </si>
  <si>
    <t xml:space="preserve">1 102 €</t>
  </si>
  <si>
    <t xml:space="preserve">Étude des primes d’assurance auto 2025 (MoneyVox)</t>
  </si>
  <si>
    <t xml:space="preserve">Prime moyenne sans bonus. Bas : 610 € (conducteur expérimenté). Haut : 2 237 € (jeune conducteur). Une voiture partagée a des conducteurs de tous profils.</t>
  </si>
  <si>
    <t xml:space="preserve">Entretien</t>
  </si>
  <si>
    <t xml:space="preserve">792 €</t>
  </si>
  <si>
    <t xml:space="preserve">Budget automobile 2025 (Fiches-auto) + hypothèse de l’équipe</t>
  </si>
  <si>
    <t xml:space="preserve">528 € par an pour une voiture moyenne × 1,5, car une voiture partagée roule environ 2 fois plus.</t>
  </si>
  <si>
    <t xml:space="preserve">Kilométrage</t>
  </si>
  <si>
    <t xml:space="preserve">22 000 km par an</t>
  </si>
  <si>
    <t xml:space="preserve">Guide de la Région wallonne sur l’autopartage (CeMathèque)</t>
  </si>
  <si>
    <t xml:space="preserve">Une voiture partagée devient rentable autour de 20 000 à 24 000 km par an : on prend le milieu.</t>
  </si>
  <si>
    <t xml:space="preserve">Carburant</t>
  </si>
  <si>
    <t xml:space="preserve">2 031 €</t>
  </si>
  <si>
    <t xml:space="preserve">Consommation officielle de la Yaris (4,1 à 4,5 L/100 km) et prix moyen du SP95-E10 le 12/10/2026 (2,147 €/L)</t>
  </si>
  <si>
    <t xml:space="preserve">22 000 km × 4,3 L ÷ 100 × 2,147 €.</t>
  </si>
  <si>
    <t xml:space="preserve">Redevance de stationnement</t>
  </si>
  <si>
    <t xml:space="preserve">750 €</t>
  </si>
  <si>
    <t xml:space="preserve">Réponse de Citiz à l’équipe (20/10/2026)</t>
  </si>
  <si>
    <t xml:space="preserve">Citiz indique une « grande variabilité » : de 0 € à 1 500 € par an selon les accords avec la collectivité ou le parking. On prend le milieu, avec 1 place par voiture.</t>
  </si>
  <si>
    <t xml:space="preserve">Coût annuel par voiture</t>
  </si>
  <si>
    <t xml:space="preserve">10 373 €</t>
  </si>
  <si>
    <t xml:space="preserve">4 898 + 800 + 1 102 + 792 + 2 031 + 750.</t>
  </si>
  <si>
    <t xml:space="preserve">ÉTAPE 3 — COÛT ANNUEL D’UNE STATION</t>
  </si>
  <si>
    <t xml:space="preserve">Coût annuel par station</t>
  </si>
  <si>
    <t xml:space="preserve">20 986 €</t>
  </si>
  <si>
    <t xml:space="preserve">2 voitures × 10 373 € + aménagement amorti (1 200 € ÷ 5 ans).</t>
  </si>
  <si>
    <t xml:space="preserve">ÉTAPE 4 — VÉRIFICATION AVEC CE QUE CITIZ FACTURE RÉELLEMENT</t>
  </si>
  <si>
    <t xml:space="preserve">Repère 1</t>
  </si>
  <si>
    <t xml:space="preserve">9 000 € par voiture et par an</t>
  </si>
  <si>
    <t xml:space="preserve">Convention Citiz avec le Genevois français (2021)</t>
  </si>
  <si>
    <t xml:space="preserve">Citiz facture une voiture tout compris 750 € par mois à la collectivité : 750 × 12.</t>
  </si>
  <si>
    <t xml:space="preserve">Repère 2</t>
  </si>
  <si>
    <t xml:space="preserve">8 520 € par voiture et par an</t>
  </si>
  <si>
    <t xml:space="preserve">Dossier de presse Citiz (2016)</t>
  </si>
  <si>
    <t xml:space="preserve">Même chose en 2016 : 710 € par mois × 12.</t>
  </si>
  <si>
    <t xml:space="preserve">Repère 3</t>
  </si>
  <si>
    <t xml:space="preserve">10 000 € par voiture et par an</t>
  </si>
  <si>
    <t xml:space="preserve">Article de la Gazette du Midi sur Citiz Occitanie (2024)</t>
  </si>
  <si>
    <t xml:space="preserve">2 M€ de chiffre d’affaires ÷ 200 voitures. Citiz est une coopérative : ses recettes couvrent à peu près ses coûts.</t>
  </si>
  <si>
    <t xml:space="preserve">Repère 4 (donné par Citiz)</t>
  </si>
  <si>
    <t xml:space="preserve">8 400 à 10 800 € par voiture et par an</t>
  </si>
  <si>
    <t xml:space="preserve">Citiz indique qu’une voiture est rentable à partir de 700 à 900 € de recettes par mois, selon le modèle et l’emplacement : 700 × 12 à 900 × 12.</t>
  </si>
  <si>
    <t xml:space="preserve">Conclusion</t>
  </si>
  <si>
    <t xml:space="preserve">9 623 à 10 373 € : dans le seuil de Citiz</t>
  </si>
  <si>
    <t xml:space="preserve">—</t>
  </si>
  <si>
    <t xml:space="preserve">Notre coût par voiture (9 623 € sans redevance, 10 373 € avec) tombe dans le seuil de rentabilité donné par Citiz lui-même (8 400 à 10 800 €), et à côté de ses montants réels. L’estimation est confirmée par l’opérateur.</t>
  </si>
  <si>
    <t xml:space="preserve">Les citations exactes et les liens de chaque source sont dans l’onglet « Hypothèses ».</t>
  </si>
  <si>
    <t xml:space="preserve">Réf</t>
  </si>
  <si>
    <t xml:space="preserve">Paramètre</t>
  </si>
  <si>
    <t xml:space="preserve">Unité</t>
  </si>
  <si>
    <t xml:space="preserve">Type</t>
  </si>
  <si>
    <t xml:space="preserve">Citation exacte ou justification</t>
  </si>
  <si>
    <t xml:space="preserve">Lien vers la source</t>
  </si>
  <si>
    <t xml:space="preserve">Date</t>
  </si>
  <si>
    <t xml:space="preserve">INVESTISSEMENT (à l’ouverture de la station)</t>
  </si>
  <si>
    <t xml:space="preserve">P1</t>
  </si>
  <si>
    <t xml:space="preserve">voitures</t>
  </si>
  <si>
    <t xml:space="preserve">Sourcé</t>
  </si>
  <si>
    <t xml:space="preserve">« La mise en place d’une station nécessite l’installation de 2 voitures pour que le service soit attractif »</t>
  </si>
  <si>
    <t xml:space="preserve">Ouvrir la source</t>
  </si>
  <si>
    <t xml:space="preserve">jusqu’au 31/10/2024</t>
  </si>
  <si>
    <t xml:space="preserve">P2</t>
  </si>
  <si>
    <t xml:space="preserve">Aménagement de la place (peinture + mât)</t>
  </si>
  <si>
    <t xml:space="preserve">€ par station</t>
  </si>
  <si>
    <t xml:space="preserve">Défaut et haut : « Aménagement de la station : 1 200€ (peinture + mât) » (2016). Bas : 0 €, car selon Citiz « certaines collectivités prennent en charge les aménagements, d’autres non » (réponse de Citiz à l’équipe, 20/10/2026)</t>
  </si>
  <si>
    <t xml:space="preserve">2016 / 2026</t>
  </si>
  <si>
    <t xml:space="preserve">P3</t>
  </si>
  <si>
    <t xml:space="preserve">Boîtier télématique (ouverture, réservation)</t>
  </si>
  <si>
    <t xml:space="preserve">€ HT par voiture</t>
  </si>
  <si>
    <t xml:space="preserve">« coût d’achat 4000 € HT / boitier »</t>
  </si>
  <si>
    <t xml:space="preserve">P4</t>
  </si>
  <si>
    <t xml:space="preserve">Prix d’achat d’une voiture</t>
  </si>
  <si>
    <t xml:space="preserve">€ par voiture</t>
  </si>
  <si>
    <t xml:space="preserve">Bas : Cerema « Coût des véhicules (en achat ou en LLD) : entre 12k€ et 20k€ ». Défaut : Yaris hybride 2026 « Prix à partir de 24 490 € ». Haut : Yaris Affaires 26 500 € (L’argus). Citiz utilise des Yaris et des Clio.</t>
  </si>
  <si>
    <t xml:space="preserve">2020 / 2026</t>
  </si>
  <si>
    <t xml:space="preserve">P5</t>
  </si>
  <si>
    <t xml:space="preserve">Durée d’amortissement d’une voiture</t>
  </si>
  <si>
    <t xml:space="preserve">ans</t>
  </si>
  <si>
    <t xml:space="preserve">« Véhicule (LLD ou achat, amorti sur environ 5 ans) »</t>
  </si>
  <si>
    <t xml:space="preserve">2020</t>
  </si>
  <si>
    <t xml:space="preserve">P6</t>
  </si>
  <si>
    <t xml:space="preserve">Durée d’amortissement du boîtier et de l’aménagement</t>
  </si>
  <si>
    <t xml:space="preserve">Hypothèse équipe</t>
  </si>
  <si>
    <t xml:space="preserve">Alignée sur la durée de vie de la voiture (pas de source)</t>
  </si>
  <si>
    <t xml:space="preserve">FONCTIONNEMENT (par voiture et par an)</t>
  </si>
  <si>
    <t xml:space="preserve">P7</t>
  </si>
  <si>
    <t xml:space="preserve">€ par voiture et par an</t>
  </si>
  <si>
    <t xml:space="preserve">Bas : « tous risques : environ 610 €/an pour un conducteur expérimenté ». Défaut : 1 102 €/an « sans bonus ». Haut : « 2 237 €/an pour un jeune conducteur ». Une voiture partagée a des conducteurs de tous profils.</t>
  </si>
  <si>
    <t xml:space="preserve">2025</t>
  </si>
  <si>
    <t xml:space="preserve">P8</t>
  </si>
  <si>
    <t xml:space="preserve">Entretien et réparations (voiture moyenne)</t>
  </si>
  <si>
    <t xml:space="preserve">44 €/mois d’entretien pour une voiture thermique (budget automobile 2025), soit 528 €/an</t>
  </si>
  <si>
    <t xml:space="preserve">P9</t>
  </si>
  <si>
    <t xml:space="preserve">Coefficient d’usure d’une voiture partagée</t>
  </si>
  <si>
    <t xml:space="preserve">× entretien moyen</t>
  </si>
  <si>
    <t xml:space="preserve">Une voiture partagée roule environ 2 fois plus qu’une voiture particulière (P10) et a plusieurs conducteurs (pas de source directe)</t>
  </si>
  <si>
    <t xml:space="preserve">P10</t>
  </si>
  <si>
    <t xml:space="preserve">Kilométrage annuel d’une voiture partagée</t>
  </si>
  <si>
    <t xml:space="preserve">km par an</t>
  </si>
  <si>
    <t xml:space="preserve">« Le seuil de rentabilité (citadine) se situe autour de 20 à 24.000 km/an »</t>
  </si>
  <si>
    <t xml:space="preserve">2022</t>
  </si>
  <si>
    <t xml:space="preserve">P11</t>
  </si>
  <si>
    <t xml:space="preserve">Consommation (Toyota Yaris hybride)</t>
  </si>
  <si>
    <t xml:space="preserve">L / 100 km</t>
  </si>
  <si>
    <t xml:space="preserve">« La Yaris annonce 4,1 à 4,5 L/100 km en cycle WLTP »</t>
  </si>
  <si>
    <t xml:space="preserve">2026</t>
  </si>
  <si>
    <t xml:space="preserve">P12</t>
  </si>
  <si>
    <t xml:space="preserve">Prix du carburant (SP95-E10)</t>
  </si>
  <si>
    <t xml:space="preserve">€ par litre</t>
  </si>
  <si>
    <t xml:space="preserve">Prix moyen national SP95-E10 le 12 octobre 2026 : 2,147 €/L</t>
  </si>
  <si>
    <t xml:space="preserve">12/10/2026</t>
  </si>
  <si>
    <t xml:space="preserve">P13</t>
  </si>
  <si>
    <t xml:space="preserve">Redevance de stationnement (place)</t>
  </si>
  <si>
    <t xml:space="preserve">€ par place et par an</t>
  </si>
  <si>
    <t xml:space="preserve">Sourcé (Citiz)</t>
  </si>
  <si>
    <t xml:space="preserve">Réponse de Citiz à l’équipe (20/10/2026) : « Grande variabilité sur le coût de redevance » ; « en parking, existence ou non d’accords commerciaux (on va de 0 € à 1 500 € / an) ». Défaut = milieu de la fourchette. On suppose 1 place = 1 voiture (à confirmer avec Citiz).</t>
  </si>
  <si>
    <t xml:space="preserve">20/10/2026</t>
  </si>
  <si>
    <t xml:space="preserve">OPTION : STATION ÉLECTRIQUE</t>
  </si>
  <si>
    <t xml:space="preserve">P14</t>
  </si>
  <si>
    <t xml:space="preserve">Borne 22 kW, 2 points de charge (achat)</t>
  </si>
  <si>
    <t xml:space="preserve">€ HT par station</t>
  </si>
  <si>
    <t xml:space="preserve">« Comptez entre 3 300 € et 4 000 € HT (hors installation) »</t>
  </si>
  <si>
    <t xml:space="preserve">2024</t>
  </si>
  <si>
    <t xml:space="preserve">P15</t>
  </si>
  <si>
    <t xml:space="preserve">Installation de la borne</t>
  </si>
  <si>
    <t xml:space="preserve">Coût moyen d’installation d’une borne 22 kW : 2 500 € à 5 000 €. À Niort, les bornes des stations Citiz sont à la charge de la collectivité.</t>
  </si>
  <si>
    <t xml:space="preserve">REPÈRES POUR VÉRIFIER (coût complet constaté, par voiture et par an)</t>
  </si>
  <si>
    <t xml:space="preserve">R1</t>
  </si>
  <si>
    <t xml:space="preserve">Recettes Citiz Occitanie par voiture</t>
  </si>
  <si>
    <t xml:space="preserve">Calcul sur source</t>
  </si>
  <si>
    <t xml:space="preserve">Chiffre d’affaires « 2 M€ » ÷ « 200 voitures » en Occitanie. Coopérative à lucrativité limitée : les recettes couvrent à peu près les coûts.</t>
  </si>
  <si>
    <t xml:space="preserve">R2</t>
  </si>
  <si>
    <t xml:space="preserve">Voiture Citiz mise à disposition, tout compris</t>
  </si>
  <si>
    <t xml:space="preserve">€ TTC par voiture et par an</t>
  </si>
  <si>
    <t xml:space="preserve">« 750 € TTC / voiture / mois » facturé par Citiz × 12 mois</t>
  </si>
  <si>
    <t xml:space="preserve">2021</t>
  </si>
  <si>
    <t xml:space="preserve">R3</t>
  </si>
  <si>
    <t xml:space="preserve">Voiture Citiz mise à disposition (2016)</t>
  </si>
  <si>
    <t xml:space="preserve">« Mise à disposition d’un véhicule CITIZ : 710€/mois soit 8 520€/an (voiture, location boitier, abonnement) »</t>
  </si>
  <si>
    <t xml:space="preserve">2016</t>
  </si>
  <si>
    <t xml:space="preserve">R4</t>
  </si>
  <si>
    <t xml:space="preserve">Frais fixes supportés par Citiz</t>
  </si>
  <si>
    <t xml:space="preserve">« Les frais fixes supportés par CITIZ s’élèvent à 250 euros/mois/véhicule » × 12</t>
  </si>
  <si>
    <t xml:space="preserve">R5</t>
  </si>
  <si>
    <t xml:space="preserve">Seuil de rentabilité d’une voiture, indiqué par Citiz</t>
  </si>
  <si>
    <t xml:space="preserve">Réponse de Citiz à l’équipe (20/10/2026) : une voiture est rentable « entre 700/900 €/mois suivant le modèle des véhicules ainsi que l’emplacement ». × 12 mois. Défaut = milieu (800 € par mois).</t>
  </si>
  <si>
    <t xml:space="preserve">Chiffres en bleu = données d’entrée (modifiables). Lignes sur fond orange = hypothèses de l’équipe, sans source directe : à présenter comme telles au jury.</t>
  </si>
  <si>
    <t xml:space="preserve">Autres liens utiles : P4 haut (L’argus) https://www.largus.fr/prix-du-neuf/toyota/yaris-affaires.html ; Niort (bornes) https://www.niortagglo.fr/deliberations-agglo/CA_131123/C33-11-2023-19.pdf ; Livre blanc Citiz 2026 https://www.citiz.coop/uploads/2026/02/2026-CITIZ-livre_blanc.pdf</t>
  </si>
  <si>
    <t xml:space="preserve">Poste</t>
  </si>
  <si>
    <t xml:space="preserve">Formule</t>
  </si>
  <si>
    <t xml:space="preserve">1. INVESTISSEMENT D’UNE STATION (2 voitures)</t>
  </si>
  <si>
    <t xml:space="preserve">Boîtiers télématiques</t>
  </si>
  <si>
    <t xml:space="preserve">P3 × P1</t>
  </si>
  <si>
    <t xml:space="preserve">Achat des voitures</t>
  </si>
  <si>
    <t xml:space="preserve">P4 × P1</t>
  </si>
  <si>
    <t xml:space="preserve">Total investissement (station thermique ou hybride)</t>
  </si>
  <si>
    <t xml:space="preserve">somme</t>
  </si>
  <si>
    <t xml:space="preserve">Option borne électrique (achat + installation)</t>
  </si>
  <si>
    <t xml:space="preserve">P14 + P15</t>
  </si>
  <si>
    <t xml:space="preserve">Total investissement (station électrique)</t>
  </si>
  <si>
    <t xml:space="preserve">avec borne</t>
  </si>
  <si>
    <t xml:space="preserve">2. COÛT ANNUEL COMPLET PAR VOITURE</t>
  </si>
  <si>
    <t xml:space="preserve">P4 ÷ P5</t>
  </si>
  <si>
    <t xml:space="preserve">P3 ÷ P6</t>
  </si>
  <si>
    <t xml:space="preserve">Entretien et réparations</t>
  </si>
  <si>
    <t xml:space="preserve">P8 × P9</t>
  </si>
  <si>
    <t xml:space="preserve">P10 × P11 ÷ 100 × P12</t>
  </si>
  <si>
    <t xml:space="preserve">P13 (1 place par voiture)</t>
  </si>
  <si>
    <t xml:space="preserve">Total des coûts identifiés par voiture</t>
  </si>
  <si>
    <t xml:space="preserve">3. COÛT ANNUEL COMPLET PAR STATION</t>
  </si>
  <si>
    <t xml:space="preserve">Voitures (coûts identifiés)</t>
  </si>
  <si>
    <t xml:space="preserve">total voiture × P1</t>
  </si>
  <si>
    <t xml:space="preserve">Amortissement de l’aménagement</t>
  </si>
  <si>
    <t xml:space="preserve">P2 ÷ P6</t>
  </si>
  <si>
    <t xml:space="preserve">Coût annuel complet par station (thermique ou hybride)</t>
  </si>
  <si>
    <t xml:space="preserve">À DONNER À MSc 4</t>
  </si>
  <si>
    <t xml:space="preserve">Option : amortissement de la borne</t>
  </si>
  <si>
    <t xml:space="preserve">borne ÷ P6</t>
  </si>
  <si>
    <t xml:space="preserve">Coût annuel complet par station (électrique)</t>
  </si>
  <si>
    <t xml:space="preserve">4. COÛT DE LA PREMIÈRE ANNÉE (trésorerie)</t>
  </si>
  <si>
    <t xml:space="preserve">Investissement</t>
  </si>
  <si>
    <t xml:space="preserve">section 1</t>
  </si>
  <si>
    <t xml:space="preserve">Fonctionnement 1 an (hors amortissements)</t>
  </si>
  <si>
    <t xml:space="preserve">(assurance + entretien + carburant + stationnement) × P1</t>
  </si>
  <si>
    <t xml:space="preserve">si Citiz achète les voitures comptant</t>
  </si>
  <si>
    <t xml:space="preserve">5. VÉRIFICATION AVEC LES REPÈRES (par voiture et par an)</t>
  </si>
  <si>
    <t xml:space="preserve">Repère : recettes Citiz Occitanie par voiture</t>
  </si>
  <si>
    <t xml:space="preserve">Repère : voiture Citiz mise à disposition (2021)</t>
  </si>
  <si>
    <t xml:space="preserve">Repère : voiture Citiz mise à disposition (2016)</t>
  </si>
  <si>
    <t xml:space="preserve">Repère : seuil de rentabilité indiqué par Citiz</t>
  </si>
  <si>
    <t xml:space="preserve">R5 : 700 à 900 € par mois × 12</t>
  </si>
  <si>
    <t xml:space="preserve">Écart entre R1 et nos coûts identifiés</t>
  </si>
  <si>
    <t xml:space="preserve">R1 − total voiture : frais de structure non chiffrés (personnel, plateforme, assistance, nettoyage)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</si>
</sst>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0"/>
    <numFmt numFmtId="167" formatCode="0.0"/>
    <numFmt numFmtId="168" formatCode="#,##0"/>
    <numFmt numFmtId="169" formatCode="#,##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9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6EBFF"/>
        <bgColor rgb="FFFF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E6"/>
      </left>
      <right style="thin">
        <color rgb="FFBFC7E6"/>
      </right>
      <top style="thin">
        <color rgb="FFBFC7E6"/>
      </top>
      <bottom style="thin">
        <color rgb="FFBFC7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BFF"/>
      <rgbColor rgb="FF660066"/>
      <rgbColor rgb="FFFF8080"/>
      <rgbColor rgb="FF0563C1"/>
      <rgbColor rgb="FFBFC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enevoisfrancais.org/wp-content/uploads/CS2023_03.2-MAJ-CONVENTION-DEPLOIMENT-AUTOPARTAGE_annexe-1.pdf" TargetMode="External"/><Relationship Id="rId2" Type="http://schemas.openxmlformats.org/officeDocument/2006/relationships/hyperlink" Target="https://v1.genevoisfrancais.org/sites/arc/files/fichiers/espace-presse/13-CommuniquesPresse2016/dossier-presse-arc_11octobre2016.pdf" TargetMode="External"/><Relationship Id="rId3" Type="http://schemas.openxmlformats.org/officeDocument/2006/relationships/hyperlink" Target="https://genevoisfrancais.org/wp-content/uploads/CS2023_03.2-MAJ-CONVENTION-DEPLOIMENT-AUTOPARTAGE_annexe-1.pdf" TargetMode="External"/><Relationship Id="rId4" Type="http://schemas.openxmlformats.org/officeDocument/2006/relationships/hyperlink" Target="https://euromotor.fr/blog/toyota-yaris-2026-prix-fiche-technique-avis/" TargetMode="External"/><Relationship Id="rId5" Type="http://schemas.openxmlformats.org/officeDocument/2006/relationships/hyperlink" Target="https://www.cerema.fr/system/files/documents/2020/12/ensemble_vers_la_competence_mobilite_-_atelier_covoiturage-autopartage.pdf" TargetMode="External"/><Relationship Id="rId6" Type="http://schemas.openxmlformats.org/officeDocument/2006/relationships/hyperlink" Target="https://www.moneyvox.fr/assurance/actualites/104708/assurance-auto-payez-vous-plus-que-la-moyenne-en-2025" TargetMode="External"/><Relationship Id="rId7" Type="http://schemas.openxmlformats.org/officeDocument/2006/relationships/hyperlink" Target="https://www.fiches-auto.fr/articles-auto/chiffres-de-l-auto/s-983-budget-auto-en-chiffres.php" TargetMode="External"/><Relationship Id="rId8" Type="http://schemas.openxmlformats.org/officeDocument/2006/relationships/hyperlink" Target="https://mobilite.wallonie.be/files/cematheque/cematheque_0053.pdf" TargetMode="External"/><Relationship Id="rId9" Type="http://schemas.openxmlformats.org/officeDocument/2006/relationships/hyperlink" Target="https://euromotor.fr/blog/toyota-yaris-2026-prix-fiche-technique-avis/" TargetMode="External"/><Relationship Id="rId10" Type="http://schemas.openxmlformats.org/officeDocument/2006/relationships/hyperlink" Target="https://prix-carburant.eu/article/prix-carburants-2026-10-12" TargetMode="External"/><Relationship Id="rId11" Type="http://schemas.openxmlformats.org/officeDocument/2006/relationships/hyperlink" Target="https://www.beev.co/blog/borne-de-recharge/cout-installation-borne-entreprise/" TargetMode="External"/><Relationship Id="rId12" Type="http://schemas.openxmlformats.org/officeDocument/2006/relationships/hyperlink" Target="https://www.beev.co/blog/borne-de-recharge/cout-installation-borne-entreprise/" TargetMode="External"/><Relationship Id="rId13" Type="http://schemas.openxmlformats.org/officeDocument/2006/relationships/hyperlink" Target="https://gazette-du-midi.fr/au-sommaire/entreprises/citiz-occitanie-15-ans-apres-l-autopartage-continue-de-seduire-les-toulousains" TargetMode="External"/><Relationship Id="rId14" Type="http://schemas.openxmlformats.org/officeDocument/2006/relationships/hyperlink" Target="https://genevoisfrancais.org/wp-content/uploads/CS2021_23.3-AUTOPARTAGE_ConventionUtilisation_Annexe.pdf" TargetMode="External"/><Relationship Id="rId15" Type="http://schemas.openxmlformats.org/officeDocument/2006/relationships/hyperlink" Target="https://v1.genevoisfrancais.org/sites/arc/files/fichiers/espace-presse/13-CommuniquesPresse2016/dossier-presse-arc_11octobre2016.pdf" TargetMode="External"/><Relationship Id="rId16" Type="http://schemas.openxmlformats.org/officeDocument/2006/relationships/hyperlink" Target="https://genevoisfrancais.org/wp-content/uploads/CS2023_03.2-MAJ-CONVENTION-DEPLOIMENT-AUTOPARTAGE_annexe-1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Calcul!B6</f>
        <v>32000</v>
      </c>
      <c r="C5" s="5" t="n">
        <f aca="false">Calcul!C6</f>
        <v>58180</v>
      </c>
      <c r="D5" s="5" t="n">
        <f aca="false">Calcul!D6</f>
        <v>62200</v>
      </c>
      <c r="E5" s="4" t="s">
        <v>8</v>
      </c>
    </row>
    <row r="6" customFormat="false" ht="26.85" hidden="false" customHeight="false" outlineLevel="0" collapsed="false">
      <c r="A6" s="4" t="s">
        <v>9</v>
      </c>
      <c r="B6" s="5" t="n">
        <f aca="false">Calcul!B8</f>
        <v>37800</v>
      </c>
      <c r="C6" s="5" t="n">
        <f aca="false">Calcul!C8</f>
        <v>65580</v>
      </c>
      <c r="D6" s="5" t="n">
        <f aca="false">Calcul!D8</f>
        <v>71200</v>
      </c>
      <c r="E6" s="4" t="s">
        <v>10</v>
      </c>
    </row>
    <row r="7" customFormat="false" ht="26.85" hidden="false" customHeight="false" outlineLevel="0" collapsed="false">
      <c r="A7" s="4" t="s">
        <v>11</v>
      </c>
      <c r="B7" s="5" t="n">
        <f aca="false">Calcul!B16</f>
        <v>6098.54</v>
      </c>
      <c r="C7" s="5" t="n">
        <f aca="false">Calcul!C16</f>
        <v>10373.062</v>
      </c>
      <c r="D7" s="5" t="n">
        <f aca="false">Calcul!D16</f>
        <v>13211.76</v>
      </c>
      <c r="E7" s="4" t="s">
        <v>12</v>
      </c>
    </row>
    <row r="8" customFormat="false" ht="26.85" hidden="false" customHeight="false" outlineLevel="0" collapsed="false">
      <c r="A8" s="6" t="s">
        <v>13</v>
      </c>
      <c r="B8" s="7" t="n">
        <f aca="false">Calcul!B20</f>
        <v>12197.08</v>
      </c>
      <c r="C8" s="7" t="n">
        <f aca="false">Calcul!C20</f>
        <v>20986.124</v>
      </c>
      <c r="D8" s="7" t="n">
        <f aca="false">Calcul!D20</f>
        <v>26663.52</v>
      </c>
      <c r="E8" s="8" t="s">
        <v>14</v>
      </c>
    </row>
    <row r="9" customFormat="false" ht="15" hidden="false" customHeight="false" outlineLevel="0" collapsed="false">
      <c r="A9" s="4" t="s">
        <v>15</v>
      </c>
      <c r="B9" s="5" t="n">
        <f aca="false">Calcul!B22</f>
        <v>13357.08</v>
      </c>
      <c r="C9" s="5" t="n">
        <f aca="false">Calcul!C22</f>
        <v>22466.124</v>
      </c>
      <c r="D9" s="5" t="n">
        <f aca="false">Calcul!D22</f>
        <v>28463.52</v>
      </c>
      <c r="E9" s="4" t="s">
        <v>16</v>
      </c>
    </row>
    <row r="10" customFormat="false" ht="15" hidden="false" customHeight="false" outlineLevel="0" collapsed="false">
      <c r="A10" s="4" t="s">
        <v>17</v>
      </c>
      <c r="B10" s="5" t="n">
        <f aca="false">Calcul!B26</f>
        <v>37797.08</v>
      </c>
      <c r="C10" s="5" t="n">
        <f aca="false">Calcul!C26</f>
        <v>67530.124</v>
      </c>
      <c r="D10" s="5" t="n">
        <f aca="false">Calcul!D26</f>
        <v>76423.52</v>
      </c>
      <c r="E10" s="4" t="s">
        <v>18</v>
      </c>
    </row>
    <row r="12" customFormat="false" ht="43.5" hidden="false" customHeight="true" outlineLevel="0" collapsed="false">
      <c r="A12" s="9" t="s">
        <v>19</v>
      </c>
      <c r="B12" s="9"/>
      <c r="C12" s="9"/>
      <c r="D12" s="9"/>
      <c r="E12" s="9"/>
    </row>
    <row r="13" customFormat="false" ht="43.5" hidden="false" customHeight="true" outlineLevel="0" collapsed="false">
      <c r="A13" s="2" t="s">
        <v>20</v>
      </c>
      <c r="B13" s="2"/>
      <c r="C13" s="2"/>
      <c r="D13" s="2"/>
      <c r="E13" s="2"/>
    </row>
    <row r="14" customFormat="false" ht="43.5" hidden="false" customHeight="true" outlineLevel="0" collapsed="false">
      <c r="A14" s="2" t="s">
        <v>21</v>
      </c>
      <c r="B14" s="2"/>
      <c r="C14" s="2"/>
      <c r="D14" s="2"/>
      <c r="E14" s="2"/>
    </row>
  </sheetData>
  <mergeCells count="4">
    <mergeCell ref="A2:E2"/>
    <mergeCell ref="A12:E12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" t="s">
        <v>22</v>
      </c>
    </row>
    <row r="2" customFormat="false" ht="48" hidden="false" customHeight="true" outlineLevel="0" collapsed="false">
      <c r="A2" s="2" t="s">
        <v>23</v>
      </c>
      <c r="B2" s="2"/>
      <c r="C2" s="2"/>
      <c r="D2" s="2"/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</row>
    <row r="5" customFormat="false" ht="15" hidden="false" customHeight="false" outlineLevel="0" collapsed="false">
      <c r="A5" s="10" t="s">
        <v>28</v>
      </c>
      <c r="B5" s="11"/>
      <c r="C5" s="11"/>
      <c r="D5" s="11"/>
    </row>
    <row r="6" customFormat="false" ht="26.85" hidden="false" customHeight="false" outlineLevel="0" collapsed="false">
      <c r="A6" s="12" t="s">
        <v>29</v>
      </c>
      <c r="B6" s="4" t="s">
        <v>30</v>
      </c>
      <c r="C6" s="4" t="s">
        <v>31</v>
      </c>
      <c r="D6" s="4" t="s">
        <v>32</v>
      </c>
    </row>
    <row r="7" customFormat="false" ht="26.85" hidden="false" customHeight="false" outlineLevel="0" collapsed="false">
      <c r="A7" s="12" t="s">
        <v>33</v>
      </c>
      <c r="B7" s="4" t="s">
        <v>34</v>
      </c>
      <c r="C7" s="4" t="s">
        <v>35</v>
      </c>
      <c r="D7" s="4" t="s">
        <v>36</v>
      </c>
    </row>
    <row r="8" customFormat="false" ht="26.85" hidden="false" customHeight="false" outlineLevel="0" collapsed="false">
      <c r="A8" s="12" t="s">
        <v>37</v>
      </c>
      <c r="B8" s="4" t="s">
        <v>38</v>
      </c>
      <c r="C8" s="4" t="s">
        <v>39</v>
      </c>
      <c r="D8" s="4" t="s">
        <v>40</v>
      </c>
    </row>
    <row r="9" customFormat="false" ht="39.55" hidden="false" customHeight="false" outlineLevel="0" collapsed="false">
      <c r="A9" s="12" t="s">
        <v>41</v>
      </c>
      <c r="B9" s="4" t="s">
        <v>42</v>
      </c>
      <c r="C9" s="4" t="s">
        <v>43</v>
      </c>
      <c r="D9" s="4" t="s">
        <v>44</v>
      </c>
    </row>
    <row r="10" customFormat="false" ht="15" hidden="false" customHeight="false" outlineLevel="0" collapsed="false">
      <c r="A10" s="6" t="s">
        <v>45</v>
      </c>
      <c r="B10" s="8" t="s">
        <v>46</v>
      </c>
      <c r="C10" s="8" t="s">
        <v>47</v>
      </c>
      <c r="D10" s="8" t="s">
        <v>48</v>
      </c>
    </row>
    <row r="11" customFormat="false" ht="15" hidden="false" customHeight="false" outlineLevel="0" collapsed="false">
      <c r="A11" s="10" t="s">
        <v>49</v>
      </c>
      <c r="B11" s="11"/>
      <c r="C11" s="11"/>
      <c r="D11" s="11"/>
    </row>
    <row r="12" customFormat="false" ht="26.85" hidden="false" customHeight="false" outlineLevel="0" collapsed="false">
      <c r="A12" s="12" t="s">
        <v>50</v>
      </c>
      <c r="B12" s="4" t="s">
        <v>51</v>
      </c>
      <c r="C12" s="4" t="s">
        <v>52</v>
      </c>
      <c r="D12" s="4" t="s">
        <v>53</v>
      </c>
    </row>
    <row r="13" customFormat="false" ht="26.85" hidden="false" customHeight="false" outlineLevel="0" collapsed="false">
      <c r="A13" s="12" t="s">
        <v>54</v>
      </c>
      <c r="B13" s="4" t="s">
        <v>55</v>
      </c>
      <c r="C13" s="4" t="s">
        <v>56</v>
      </c>
      <c r="D13" s="4" t="s">
        <v>57</v>
      </c>
    </row>
    <row r="14" customFormat="false" ht="39.55" hidden="false" customHeight="false" outlineLevel="0" collapsed="false">
      <c r="A14" s="12" t="s">
        <v>58</v>
      </c>
      <c r="B14" s="4" t="s">
        <v>59</v>
      </c>
      <c r="C14" s="4" t="s">
        <v>60</v>
      </c>
      <c r="D14" s="4" t="s">
        <v>61</v>
      </c>
    </row>
    <row r="15" customFormat="false" ht="26.85" hidden="false" customHeight="false" outlineLevel="0" collapsed="false">
      <c r="A15" s="12" t="s">
        <v>62</v>
      </c>
      <c r="B15" s="4" t="s">
        <v>63</v>
      </c>
      <c r="C15" s="4" t="s">
        <v>64</v>
      </c>
      <c r="D15" s="4" t="s">
        <v>65</v>
      </c>
    </row>
    <row r="16" customFormat="false" ht="26.85" hidden="false" customHeight="false" outlineLevel="0" collapsed="false">
      <c r="A16" s="12" t="s">
        <v>66</v>
      </c>
      <c r="B16" s="4" t="s">
        <v>67</v>
      </c>
      <c r="C16" s="4" t="s">
        <v>68</v>
      </c>
      <c r="D16" s="4" t="s">
        <v>69</v>
      </c>
    </row>
    <row r="17" customFormat="false" ht="39.55" hidden="false" customHeight="false" outlineLevel="0" collapsed="false">
      <c r="A17" s="12" t="s">
        <v>70</v>
      </c>
      <c r="B17" s="4" t="s">
        <v>71</v>
      </c>
      <c r="C17" s="4" t="s">
        <v>72</v>
      </c>
      <c r="D17" s="4" t="s">
        <v>73</v>
      </c>
    </row>
    <row r="18" customFormat="false" ht="39.55" hidden="false" customHeight="false" outlineLevel="0" collapsed="false">
      <c r="A18" s="12" t="s">
        <v>74</v>
      </c>
      <c r="B18" s="4" t="s">
        <v>75</v>
      </c>
      <c r="C18" s="4" t="s">
        <v>76</v>
      </c>
      <c r="D18" s="4" t="s">
        <v>77</v>
      </c>
    </row>
    <row r="19" customFormat="false" ht="15" hidden="false" customHeight="false" outlineLevel="0" collapsed="false">
      <c r="A19" s="6" t="s">
        <v>78</v>
      </c>
      <c r="B19" s="8" t="s">
        <v>79</v>
      </c>
      <c r="C19" s="8" t="s">
        <v>47</v>
      </c>
      <c r="D19" s="8" t="s">
        <v>80</v>
      </c>
    </row>
    <row r="20" customFormat="false" ht="15" hidden="false" customHeight="false" outlineLevel="0" collapsed="false">
      <c r="A20" s="10" t="s">
        <v>81</v>
      </c>
      <c r="B20" s="11"/>
      <c r="C20" s="11"/>
      <c r="D20" s="11"/>
    </row>
    <row r="21" customFormat="false" ht="15" hidden="false" customHeight="false" outlineLevel="0" collapsed="false">
      <c r="A21" s="6" t="s">
        <v>82</v>
      </c>
      <c r="B21" s="8" t="s">
        <v>83</v>
      </c>
      <c r="C21" s="8" t="s">
        <v>47</v>
      </c>
      <c r="D21" s="8" t="s">
        <v>84</v>
      </c>
    </row>
    <row r="22" customFormat="false" ht="15" hidden="false" customHeight="false" outlineLevel="0" collapsed="false">
      <c r="A22" s="10" t="s">
        <v>85</v>
      </c>
      <c r="B22" s="11"/>
      <c r="C22" s="11"/>
      <c r="D22" s="11"/>
    </row>
    <row r="23" customFormat="false" ht="26.85" hidden="false" customHeight="false" outlineLevel="0" collapsed="false">
      <c r="A23" s="12" t="s">
        <v>86</v>
      </c>
      <c r="B23" s="4" t="s">
        <v>87</v>
      </c>
      <c r="C23" s="4" t="s">
        <v>88</v>
      </c>
      <c r="D23" s="4" t="s">
        <v>89</v>
      </c>
    </row>
    <row r="24" customFormat="false" ht="26.85" hidden="false" customHeight="false" outlineLevel="0" collapsed="false">
      <c r="A24" s="12" t="s">
        <v>90</v>
      </c>
      <c r="B24" s="4" t="s">
        <v>91</v>
      </c>
      <c r="C24" s="4" t="s">
        <v>92</v>
      </c>
      <c r="D24" s="4" t="s">
        <v>93</v>
      </c>
    </row>
    <row r="25" customFormat="false" ht="26.85" hidden="false" customHeight="false" outlineLevel="0" collapsed="false">
      <c r="A25" s="12" t="s">
        <v>94</v>
      </c>
      <c r="B25" s="4" t="s">
        <v>95</v>
      </c>
      <c r="C25" s="4" t="s">
        <v>96</v>
      </c>
      <c r="D25" s="4" t="s">
        <v>97</v>
      </c>
    </row>
    <row r="26" customFormat="false" ht="39.55" hidden="false" customHeight="false" outlineLevel="0" collapsed="false">
      <c r="A26" s="12" t="s">
        <v>98</v>
      </c>
      <c r="B26" s="4" t="s">
        <v>99</v>
      </c>
      <c r="C26" s="4" t="s">
        <v>76</v>
      </c>
      <c r="D26" s="4" t="s">
        <v>100</v>
      </c>
    </row>
    <row r="27" customFormat="false" ht="52.2" hidden="false" customHeight="false" outlineLevel="0" collapsed="false">
      <c r="A27" s="6" t="s">
        <v>101</v>
      </c>
      <c r="B27" s="8" t="s">
        <v>102</v>
      </c>
      <c r="C27" s="8" t="s">
        <v>103</v>
      </c>
      <c r="D27" s="8" t="s">
        <v>104</v>
      </c>
    </row>
    <row r="29" customFormat="false" ht="15" hidden="false" customHeight="false" outlineLevel="0" collapsed="false">
      <c r="A29" s="13" t="s">
        <v>105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5" min="3" style="0" width="11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6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6.85" hidden="false" customHeight="false" outlineLevel="0" collapsed="false">
      <c r="A1" s="14" t="s">
        <v>106</v>
      </c>
      <c r="B1" s="14" t="s">
        <v>107</v>
      </c>
      <c r="C1" s="14" t="s">
        <v>3</v>
      </c>
      <c r="D1" s="14" t="s">
        <v>4</v>
      </c>
      <c r="E1" s="14" t="s">
        <v>5</v>
      </c>
      <c r="F1" s="14" t="s">
        <v>108</v>
      </c>
      <c r="G1" s="14" t="s">
        <v>109</v>
      </c>
      <c r="H1" s="14" t="s">
        <v>110</v>
      </c>
      <c r="I1" s="14" t="s">
        <v>111</v>
      </c>
      <c r="J1" s="14" t="s">
        <v>112</v>
      </c>
    </row>
    <row r="2" customFormat="false" ht="15" hidden="false" customHeight="false" outlineLevel="0" collapsed="false">
      <c r="A2" s="10" t="s">
        <v>113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26.85" hidden="false" customHeight="false" outlineLevel="0" collapsed="false">
      <c r="A3" s="4" t="s">
        <v>114</v>
      </c>
      <c r="B3" s="4" t="s">
        <v>29</v>
      </c>
      <c r="C3" s="15" t="n">
        <v>2</v>
      </c>
      <c r="D3" s="15" t="n">
        <v>2</v>
      </c>
      <c r="E3" s="15" t="n">
        <v>2</v>
      </c>
      <c r="F3" s="4" t="s">
        <v>115</v>
      </c>
      <c r="G3" s="4" t="s">
        <v>116</v>
      </c>
      <c r="H3" s="4" t="s">
        <v>117</v>
      </c>
      <c r="I3" s="16" t="s">
        <v>118</v>
      </c>
      <c r="J3" s="4" t="s">
        <v>119</v>
      </c>
    </row>
    <row r="4" customFormat="false" ht="52.2" hidden="false" customHeight="false" outlineLevel="0" collapsed="false">
      <c r="A4" s="4" t="s">
        <v>120</v>
      </c>
      <c r="B4" s="4" t="s">
        <v>121</v>
      </c>
      <c r="C4" s="17" t="n">
        <v>0</v>
      </c>
      <c r="D4" s="17" t="n">
        <v>1200</v>
      </c>
      <c r="E4" s="17" t="n">
        <v>1200</v>
      </c>
      <c r="F4" s="4" t="s">
        <v>122</v>
      </c>
      <c r="G4" s="4" t="s">
        <v>116</v>
      </c>
      <c r="H4" s="4" t="s">
        <v>123</v>
      </c>
      <c r="I4" s="16" t="s">
        <v>118</v>
      </c>
      <c r="J4" s="4" t="s">
        <v>124</v>
      </c>
    </row>
    <row r="5" customFormat="false" ht="26.85" hidden="false" customHeight="false" outlineLevel="0" collapsed="false">
      <c r="A5" s="4" t="s">
        <v>125</v>
      </c>
      <c r="B5" s="4" t="s">
        <v>126</v>
      </c>
      <c r="C5" s="17" t="n">
        <v>4000</v>
      </c>
      <c r="D5" s="17" t="n">
        <v>4000</v>
      </c>
      <c r="E5" s="17" t="n">
        <v>4000</v>
      </c>
      <c r="F5" s="4" t="s">
        <v>127</v>
      </c>
      <c r="G5" s="4" t="s">
        <v>116</v>
      </c>
      <c r="H5" s="4" t="s">
        <v>128</v>
      </c>
      <c r="I5" s="16" t="s">
        <v>118</v>
      </c>
      <c r="J5" s="4" t="s">
        <v>119</v>
      </c>
    </row>
    <row r="6" customFormat="false" ht="52.2" hidden="false" customHeight="false" outlineLevel="0" collapsed="false">
      <c r="A6" s="4" t="s">
        <v>129</v>
      </c>
      <c r="B6" s="4" t="s">
        <v>130</v>
      </c>
      <c r="C6" s="17" t="n">
        <v>12000</v>
      </c>
      <c r="D6" s="17" t="n">
        <v>24490</v>
      </c>
      <c r="E6" s="17" t="n">
        <v>26500</v>
      </c>
      <c r="F6" s="4" t="s">
        <v>131</v>
      </c>
      <c r="G6" s="4" t="s">
        <v>116</v>
      </c>
      <c r="H6" s="4" t="s">
        <v>132</v>
      </c>
      <c r="I6" s="16" t="s">
        <v>118</v>
      </c>
      <c r="J6" s="4" t="s">
        <v>133</v>
      </c>
    </row>
    <row r="7" customFormat="false" ht="26.85" hidden="false" customHeight="false" outlineLevel="0" collapsed="false">
      <c r="A7" s="4" t="s">
        <v>134</v>
      </c>
      <c r="B7" s="4" t="s">
        <v>135</v>
      </c>
      <c r="C7" s="15" t="n">
        <v>5</v>
      </c>
      <c r="D7" s="15" t="n">
        <v>5</v>
      </c>
      <c r="E7" s="15" t="n">
        <v>5</v>
      </c>
      <c r="F7" s="4" t="s">
        <v>136</v>
      </c>
      <c r="G7" s="4" t="s">
        <v>116</v>
      </c>
      <c r="H7" s="4" t="s">
        <v>137</v>
      </c>
      <c r="I7" s="16" t="s">
        <v>118</v>
      </c>
      <c r="J7" s="4" t="s">
        <v>138</v>
      </c>
    </row>
    <row r="8" customFormat="false" ht="26.85" hidden="false" customHeight="false" outlineLevel="0" collapsed="false">
      <c r="A8" s="18" t="s">
        <v>139</v>
      </c>
      <c r="B8" s="18" t="s">
        <v>140</v>
      </c>
      <c r="C8" s="19" t="n">
        <v>5</v>
      </c>
      <c r="D8" s="19" t="n">
        <v>5</v>
      </c>
      <c r="E8" s="19" t="n">
        <v>5</v>
      </c>
      <c r="F8" s="18" t="s">
        <v>136</v>
      </c>
      <c r="G8" s="18" t="s">
        <v>141</v>
      </c>
      <c r="H8" s="18" t="s">
        <v>142</v>
      </c>
      <c r="I8" s="18" t="s">
        <v>103</v>
      </c>
      <c r="J8" s="18" t="s">
        <v>103</v>
      </c>
    </row>
    <row r="9" customFormat="false" ht="15" hidden="false" customHeight="false" outlineLevel="0" collapsed="false">
      <c r="A9" s="10" t="s">
        <v>143</v>
      </c>
      <c r="B9" s="11"/>
      <c r="C9" s="11"/>
      <c r="D9" s="11"/>
      <c r="E9" s="11"/>
      <c r="F9" s="11"/>
      <c r="G9" s="11"/>
      <c r="H9" s="11"/>
      <c r="I9" s="11"/>
      <c r="J9" s="11"/>
    </row>
    <row r="10" customFormat="false" ht="52.2" hidden="false" customHeight="false" outlineLevel="0" collapsed="false">
      <c r="A10" s="4" t="s">
        <v>144</v>
      </c>
      <c r="B10" s="4" t="s">
        <v>58</v>
      </c>
      <c r="C10" s="17" t="n">
        <v>610</v>
      </c>
      <c r="D10" s="17" t="n">
        <v>1102</v>
      </c>
      <c r="E10" s="17" t="n">
        <v>2237</v>
      </c>
      <c r="F10" s="4" t="s">
        <v>145</v>
      </c>
      <c r="G10" s="4" t="s">
        <v>116</v>
      </c>
      <c r="H10" s="4" t="s">
        <v>146</v>
      </c>
      <c r="I10" s="16" t="s">
        <v>118</v>
      </c>
      <c r="J10" s="4" t="s">
        <v>147</v>
      </c>
    </row>
    <row r="11" customFormat="false" ht="26.85" hidden="false" customHeight="false" outlineLevel="0" collapsed="false">
      <c r="A11" s="4" t="s">
        <v>148</v>
      </c>
      <c r="B11" s="4" t="s">
        <v>149</v>
      </c>
      <c r="C11" s="17" t="n">
        <v>528</v>
      </c>
      <c r="D11" s="17" t="n">
        <v>528</v>
      </c>
      <c r="E11" s="17" t="n">
        <v>528</v>
      </c>
      <c r="F11" s="4" t="s">
        <v>145</v>
      </c>
      <c r="G11" s="4" t="s">
        <v>116</v>
      </c>
      <c r="H11" s="4" t="s">
        <v>150</v>
      </c>
      <c r="I11" s="16" t="s">
        <v>118</v>
      </c>
      <c r="J11" s="4" t="s">
        <v>147</v>
      </c>
    </row>
    <row r="12" customFormat="false" ht="39.55" hidden="false" customHeight="false" outlineLevel="0" collapsed="false">
      <c r="A12" s="18" t="s">
        <v>151</v>
      </c>
      <c r="B12" s="18" t="s">
        <v>152</v>
      </c>
      <c r="C12" s="20" t="n">
        <v>1</v>
      </c>
      <c r="D12" s="20" t="n">
        <v>1.5</v>
      </c>
      <c r="E12" s="20" t="n">
        <v>2</v>
      </c>
      <c r="F12" s="18" t="s">
        <v>153</v>
      </c>
      <c r="G12" s="18" t="s">
        <v>141</v>
      </c>
      <c r="H12" s="18" t="s">
        <v>154</v>
      </c>
      <c r="I12" s="18" t="s">
        <v>103</v>
      </c>
      <c r="J12" s="18" t="s">
        <v>103</v>
      </c>
    </row>
    <row r="13" customFormat="false" ht="26.85" hidden="false" customHeight="false" outlineLevel="0" collapsed="false">
      <c r="A13" s="4" t="s">
        <v>155</v>
      </c>
      <c r="B13" s="4" t="s">
        <v>156</v>
      </c>
      <c r="C13" s="21" t="n">
        <v>20000</v>
      </c>
      <c r="D13" s="21" t="n">
        <v>22000</v>
      </c>
      <c r="E13" s="21" t="n">
        <v>24000</v>
      </c>
      <c r="F13" s="4" t="s">
        <v>157</v>
      </c>
      <c r="G13" s="4" t="s">
        <v>116</v>
      </c>
      <c r="H13" s="4" t="s">
        <v>158</v>
      </c>
      <c r="I13" s="16" t="s">
        <v>118</v>
      </c>
      <c r="J13" s="4" t="s">
        <v>159</v>
      </c>
    </row>
    <row r="14" customFormat="false" ht="26.85" hidden="false" customHeight="false" outlineLevel="0" collapsed="false">
      <c r="A14" s="4" t="s">
        <v>160</v>
      </c>
      <c r="B14" s="4" t="s">
        <v>161</v>
      </c>
      <c r="C14" s="22" t="n">
        <v>4.1</v>
      </c>
      <c r="D14" s="22" t="n">
        <v>4.3</v>
      </c>
      <c r="E14" s="22" t="n">
        <v>4.5</v>
      </c>
      <c r="F14" s="4" t="s">
        <v>162</v>
      </c>
      <c r="G14" s="4" t="s">
        <v>116</v>
      </c>
      <c r="H14" s="4" t="s">
        <v>163</v>
      </c>
      <c r="I14" s="16" t="s">
        <v>118</v>
      </c>
      <c r="J14" s="4" t="s">
        <v>164</v>
      </c>
    </row>
    <row r="15" customFormat="false" ht="15" hidden="false" customHeight="false" outlineLevel="0" collapsed="false">
      <c r="A15" s="4" t="s">
        <v>165</v>
      </c>
      <c r="B15" s="4" t="s">
        <v>166</v>
      </c>
      <c r="C15" s="23" t="n">
        <v>2.147</v>
      </c>
      <c r="D15" s="23" t="n">
        <v>2.147</v>
      </c>
      <c r="E15" s="23" t="n">
        <v>2.147</v>
      </c>
      <c r="F15" s="4" t="s">
        <v>167</v>
      </c>
      <c r="G15" s="4" t="s">
        <v>116</v>
      </c>
      <c r="H15" s="4" t="s">
        <v>168</v>
      </c>
      <c r="I15" s="16" t="s">
        <v>118</v>
      </c>
      <c r="J15" s="4" t="s">
        <v>169</v>
      </c>
    </row>
    <row r="16" customFormat="false" ht="64.9" hidden="false" customHeight="false" outlineLevel="0" collapsed="false">
      <c r="A16" s="4" t="s">
        <v>170</v>
      </c>
      <c r="B16" s="4" t="s">
        <v>171</v>
      </c>
      <c r="C16" s="17" t="n">
        <v>0</v>
      </c>
      <c r="D16" s="17" t="n">
        <v>750</v>
      </c>
      <c r="E16" s="17" t="n">
        <v>1500</v>
      </c>
      <c r="F16" s="4" t="s">
        <v>172</v>
      </c>
      <c r="G16" s="4" t="s">
        <v>173</v>
      </c>
      <c r="H16" s="4" t="s">
        <v>174</v>
      </c>
      <c r="I16" s="4" t="s">
        <v>103</v>
      </c>
      <c r="J16" s="4" t="s">
        <v>175</v>
      </c>
    </row>
    <row r="17" customFormat="false" ht="15" hidden="false" customHeight="false" outlineLevel="0" collapsed="false">
      <c r="A17" s="10" t="s">
        <v>176</v>
      </c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26.85" hidden="false" customHeight="false" outlineLevel="0" collapsed="false">
      <c r="A18" s="4" t="s">
        <v>177</v>
      </c>
      <c r="B18" s="4" t="s">
        <v>178</v>
      </c>
      <c r="C18" s="17" t="n">
        <v>3300</v>
      </c>
      <c r="D18" s="17" t="n">
        <v>3650</v>
      </c>
      <c r="E18" s="17" t="n">
        <v>4000</v>
      </c>
      <c r="F18" s="4" t="s">
        <v>179</v>
      </c>
      <c r="G18" s="4" t="s">
        <v>116</v>
      </c>
      <c r="H18" s="4" t="s">
        <v>180</v>
      </c>
      <c r="I18" s="16" t="s">
        <v>118</v>
      </c>
      <c r="J18" s="4" t="s">
        <v>181</v>
      </c>
    </row>
    <row r="19" customFormat="false" ht="39.55" hidden="false" customHeight="false" outlineLevel="0" collapsed="false">
      <c r="A19" s="4" t="s">
        <v>182</v>
      </c>
      <c r="B19" s="4" t="s">
        <v>183</v>
      </c>
      <c r="C19" s="17" t="n">
        <v>2500</v>
      </c>
      <c r="D19" s="17" t="n">
        <v>3750</v>
      </c>
      <c r="E19" s="17" t="n">
        <v>5000</v>
      </c>
      <c r="F19" s="4" t="s">
        <v>122</v>
      </c>
      <c r="G19" s="4" t="s">
        <v>116</v>
      </c>
      <c r="H19" s="4" t="s">
        <v>184</v>
      </c>
      <c r="I19" s="16" t="s">
        <v>118</v>
      </c>
      <c r="J19" s="4" t="s">
        <v>181</v>
      </c>
    </row>
    <row r="20" customFormat="false" ht="15" hidden="false" customHeight="false" outlineLevel="0" collapsed="false">
      <c r="A20" s="10" t="s">
        <v>185</v>
      </c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39.55" hidden="false" customHeight="false" outlineLevel="0" collapsed="false">
      <c r="A21" s="4" t="s">
        <v>186</v>
      </c>
      <c r="B21" s="4" t="s">
        <v>187</v>
      </c>
      <c r="C21" s="17" t="n">
        <v>10000</v>
      </c>
      <c r="D21" s="17" t="n">
        <v>10000</v>
      </c>
      <c r="E21" s="17" t="n">
        <v>10000</v>
      </c>
      <c r="F21" s="4" t="s">
        <v>145</v>
      </c>
      <c r="G21" s="4" t="s">
        <v>188</v>
      </c>
      <c r="H21" s="4" t="s">
        <v>189</v>
      </c>
      <c r="I21" s="16" t="s">
        <v>118</v>
      </c>
      <c r="J21" s="4" t="s">
        <v>181</v>
      </c>
    </row>
    <row r="22" customFormat="false" ht="26.85" hidden="false" customHeight="false" outlineLevel="0" collapsed="false">
      <c r="A22" s="4" t="s">
        <v>190</v>
      </c>
      <c r="B22" s="4" t="s">
        <v>191</v>
      </c>
      <c r="C22" s="17" t="n">
        <v>9000</v>
      </c>
      <c r="D22" s="17" t="n">
        <v>9000</v>
      </c>
      <c r="E22" s="17" t="n">
        <v>9000</v>
      </c>
      <c r="F22" s="4" t="s">
        <v>192</v>
      </c>
      <c r="G22" s="4" t="s">
        <v>188</v>
      </c>
      <c r="H22" s="4" t="s">
        <v>193</v>
      </c>
      <c r="I22" s="16" t="s">
        <v>118</v>
      </c>
      <c r="J22" s="4" t="s">
        <v>194</v>
      </c>
    </row>
    <row r="23" customFormat="false" ht="26.85" hidden="false" customHeight="false" outlineLevel="0" collapsed="false">
      <c r="A23" s="4" t="s">
        <v>195</v>
      </c>
      <c r="B23" s="4" t="s">
        <v>196</v>
      </c>
      <c r="C23" s="17" t="n">
        <v>8520</v>
      </c>
      <c r="D23" s="17" t="n">
        <v>8520</v>
      </c>
      <c r="E23" s="17" t="n">
        <v>8520</v>
      </c>
      <c r="F23" s="4" t="s">
        <v>145</v>
      </c>
      <c r="G23" s="4" t="s">
        <v>116</v>
      </c>
      <c r="H23" s="4" t="s">
        <v>197</v>
      </c>
      <c r="I23" s="16" t="s">
        <v>118</v>
      </c>
      <c r="J23" s="4" t="s">
        <v>198</v>
      </c>
    </row>
    <row r="24" customFormat="false" ht="26.85" hidden="false" customHeight="false" outlineLevel="0" collapsed="false">
      <c r="A24" s="4" t="s">
        <v>199</v>
      </c>
      <c r="B24" s="4" t="s">
        <v>200</v>
      </c>
      <c r="C24" s="17" t="n">
        <v>3000</v>
      </c>
      <c r="D24" s="17" t="n">
        <v>3000</v>
      </c>
      <c r="E24" s="17" t="n">
        <v>3000</v>
      </c>
      <c r="F24" s="4" t="s">
        <v>145</v>
      </c>
      <c r="G24" s="4" t="s">
        <v>188</v>
      </c>
      <c r="H24" s="4" t="s">
        <v>201</v>
      </c>
      <c r="I24" s="16" t="s">
        <v>118</v>
      </c>
      <c r="J24" s="4" t="s">
        <v>119</v>
      </c>
    </row>
    <row r="25" customFormat="false" ht="39.55" hidden="false" customHeight="false" outlineLevel="0" collapsed="false">
      <c r="A25" s="4" t="s">
        <v>202</v>
      </c>
      <c r="B25" s="4" t="s">
        <v>203</v>
      </c>
      <c r="C25" s="17" t="n">
        <v>8400</v>
      </c>
      <c r="D25" s="17" t="n">
        <v>9600</v>
      </c>
      <c r="E25" s="17" t="n">
        <v>10800</v>
      </c>
      <c r="F25" s="4" t="s">
        <v>145</v>
      </c>
      <c r="G25" s="4" t="s">
        <v>173</v>
      </c>
      <c r="H25" s="4" t="s">
        <v>204</v>
      </c>
      <c r="I25" s="4" t="s">
        <v>103</v>
      </c>
      <c r="J25" s="4" t="s">
        <v>175</v>
      </c>
    </row>
    <row r="27" customFormat="false" ht="15" hidden="false" customHeight="false" outlineLevel="0" collapsed="false">
      <c r="A27" s="13" t="s">
        <v>205</v>
      </c>
    </row>
    <row r="28" customFormat="false" ht="15" hidden="false" customHeight="false" outlineLevel="0" collapsed="false">
      <c r="A28" s="24" t="s">
        <v>206</v>
      </c>
    </row>
  </sheetData>
  <hyperlinks>
    <hyperlink ref="I3" r:id="rId1" display="Ouvrir la source"/>
    <hyperlink ref="I4" r:id="rId2" display="Ouvrir la source"/>
    <hyperlink ref="I5" r:id="rId3" display="Ouvrir la source"/>
    <hyperlink ref="I6" r:id="rId4" display="Ouvrir la source"/>
    <hyperlink ref="I7" r:id="rId5" display="Ouvrir la source"/>
    <hyperlink ref="I10" r:id="rId6" display="Ouvrir la source"/>
    <hyperlink ref="I11" r:id="rId7" display="Ouvrir la source"/>
    <hyperlink ref="I13" r:id="rId8" display="Ouvrir la source"/>
    <hyperlink ref="I14" r:id="rId9" display="Ouvrir la source"/>
    <hyperlink ref="I15" r:id="rId10" display="Ouvrir la source"/>
    <hyperlink ref="I18" r:id="rId11" display="Ouvrir la source"/>
    <hyperlink ref="I19" r:id="rId12" display="Ouvrir la source"/>
    <hyperlink ref="I21" r:id="rId13" display="Ouvrir la source"/>
    <hyperlink ref="I22" r:id="rId14" display="Ouvrir la source"/>
    <hyperlink ref="I23" r:id="rId15" display="Ouvrir la source"/>
    <hyperlink ref="I24" r:id="rId16" display="Ouvrir la sour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3" t="s">
        <v>207</v>
      </c>
      <c r="B1" s="3" t="s">
        <v>3</v>
      </c>
      <c r="C1" s="3" t="s">
        <v>4</v>
      </c>
      <c r="D1" s="3" t="s">
        <v>5</v>
      </c>
      <c r="E1" s="3" t="s">
        <v>208</v>
      </c>
    </row>
    <row r="2" customFormat="false" ht="15" hidden="false" customHeight="false" outlineLevel="0" collapsed="false">
      <c r="A2" s="10" t="s">
        <v>209</v>
      </c>
      <c r="B2" s="11"/>
      <c r="C2" s="11"/>
      <c r="D2" s="11"/>
      <c r="E2" s="11"/>
    </row>
    <row r="3" customFormat="false" ht="15" hidden="false" customHeight="false" outlineLevel="0" collapsed="false">
      <c r="A3" s="4" t="s">
        <v>33</v>
      </c>
      <c r="B3" s="25" t="n">
        <f aca="false">Hypothèses!$C$4</f>
        <v>0</v>
      </c>
      <c r="C3" s="25" t="n">
        <f aca="false">Hypothèses!$D$4</f>
        <v>1200</v>
      </c>
      <c r="D3" s="25" t="n">
        <f aca="false">Hypothèses!$E$4</f>
        <v>1200</v>
      </c>
      <c r="E3" s="26" t="s">
        <v>120</v>
      </c>
    </row>
    <row r="4" customFormat="false" ht="15" hidden="false" customHeight="false" outlineLevel="0" collapsed="false">
      <c r="A4" s="4" t="s">
        <v>210</v>
      </c>
      <c r="B4" s="25" t="n">
        <f aca="false">Hypothèses!$C$5*Hypothèses!$C$3</f>
        <v>8000</v>
      </c>
      <c r="C4" s="25" t="n">
        <f aca="false">Hypothèses!$D$5*Hypothèses!$D$3</f>
        <v>8000</v>
      </c>
      <c r="D4" s="25" t="n">
        <f aca="false">Hypothèses!$E$5*Hypothèses!$E$3</f>
        <v>8000</v>
      </c>
      <c r="E4" s="26" t="s">
        <v>211</v>
      </c>
    </row>
    <row r="5" customFormat="false" ht="15" hidden="false" customHeight="false" outlineLevel="0" collapsed="false">
      <c r="A5" s="4" t="s">
        <v>212</v>
      </c>
      <c r="B5" s="25" t="n">
        <f aca="false">Hypothèses!$C$6*Hypothèses!$C$3</f>
        <v>24000</v>
      </c>
      <c r="C5" s="25" t="n">
        <f aca="false">Hypothèses!$D$6*Hypothèses!$D$3</f>
        <v>48980</v>
      </c>
      <c r="D5" s="25" t="n">
        <f aca="false">Hypothèses!$E$6*Hypothèses!$E$3</f>
        <v>53000</v>
      </c>
      <c r="E5" s="26" t="s">
        <v>213</v>
      </c>
    </row>
    <row r="6" customFormat="false" ht="15" hidden="false" customHeight="false" outlineLevel="0" collapsed="false">
      <c r="A6" s="12" t="s">
        <v>214</v>
      </c>
      <c r="B6" s="27" t="n">
        <f aca="false">SUM(B3:B5)</f>
        <v>32000</v>
      </c>
      <c r="C6" s="27" t="n">
        <f aca="false">SUM(C3:C5)</f>
        <v>58180</v>
      </c>
      <c r="D6" s="27" t="n">
        <f aca="false">SUM(D3:D5)</f>
        <v>62200</v>
      </c>
      <c r="E6" s="26" t="s">
        <v>215</v>
      </c>
    </row>
    <row r="7" customFormat="false" ht="15" hidden="false" customHeight="false" outlineLevel="0" collapsed="false">
      <c r="A7" s="4" t="s">
        <v>216</v>
      </c>
      <c r="B7" s="25" t="n">
        <f aca="false">Hypothèses!$C$18+Hypothèses!$C$19</f>
        <v>5800</v>
      </c>
      <c r="C7" s="25" t="n">
        <f aca="false">Hypothèses!$D$18+Hypothèses!$D$19</f>
        <v>7400</v>
      </c>
      <c r="D7" s="25" t="n">
        <f aca="false">Hypothèses!$E$18+Hypothèses!$E$19</f>
        <v>9000</v>
      </c>
      <c r="E7" s="26" t="s">
        <v>217</v>
      </c>
    </row>
    <row r="8" customFormat="false" ht="15" hidden="false" customHeight="false" outlineLevel="0" collapsed="false">
      <c r="A8" s="12" t="s">
        <v>218</v>
      </c>
      <c r="B8" s="27" t="n">
        <f aca="false">B6+B7</f>
        <v>37800</v>
      </c>
      <c r="C8" s="27" t="n">
        <f aca="false">C6+C7</f>
        <v>65580</v>
      </c>
      <c r="D8" s="27" t="n">
        <f aca="false">D6+D7</f>
        <v>71200</v>
      </c>
      <c r="E8" s="26" t="s">
        <v>219</v>
      </c>
    </row>
    <row r="9" customFormat="false" ht="15" hidden="false" customHeight="false" outlineLevel="0" collapsed="false">
      <c r="A9" s="10" t="s">
        <v>220</v>
      </c>
      <c r="B9" s="11"/>
      <c r="C9" s="11"/>
      <c r="D9" s="11"/>
      <c r="E9" s="11"/>
    </row>
    <row r="10" customFormat="false" ht="15" hidden="false" customHeight="false" outlineLevel="0" collapsed="false">
      <c r="A10" s="4" t="s">
        <v>50</v>
      </c>
      <c r="B10" s="25" t="n">
        <f aca="false">Hypothèses!$C$6/Hypothèses!$C$7</f>
        <v>2400</v>
      </c>
      <c r="C10" s="25" t="n">
        <f aca="false">Hypothèses!$D$6/Hypothèses!$D$7</f>
        <v>4898</v>
      </c>
      <c r="D10" s="25" t="n">
        <f aca="false">Hypothèses!$E$6/Hypothèses!$E$7</f>
        <v>5300</v>
      </c>
      <c r="E10" s="26" t="s">
        <v>221</v>
      </c>
    </row>
    <row r="11" customFormat="false" ht="15" hidden="false" customHeight="false" outlineLevel="0" collapsed="false">
      <c r="A11" s="4" t="s">
        <v>54</v>
      </c>
      <c r="B11" s="25" t="n">
        <f aca="false">Hypothèses!$C$5/Hypothèses!$C$8</f>
        <v>800</v>
      </c>
      <c r="C11" s="25" t="n">
        <f aca="false">Hypothèses!$D$5/Hypothèses!$D$8</f>
        <v>800</v>
      </c>
      <c r="D11" s="25" t="n">
        <f aca="false">Hypothèses!$E$5/Hypothèses!$E$8</f>
        <v>800</v>
      </c>
      <c r="E11" s="26" t="s">
        <v>222</v>
      </c>
    </row>
    <row r="12" customFormat="false" ht="15" hidden="false" customHeight="false" outlineLevel="0" collapsed="false">
      <c r="A12" s="4" t="s">
        <v>58</v>
      </c>
      <c r="B12" s="25" t="n">
        <f aca="false">Hypothèses!$C$10</f>
        <v>610</v>
      </c>
      <c r="C12" s="25" t="n">
        <f aca="false">Hypothèses!$D$10</f>
        <v>1102</v>
      </c>
      <c r="D12" s="25" t="n">
        <f aca="false">Hypothèses!$E$10</f>
        <v>2237</v>
      </c>
      <c r="E12" s="26" t="s">
        <v>144</v>
      </c>
    </row>
    <row r="13" customFormat="false" ht="15" hidden="false" customHeight="false" outlineLevel="0" collapsed="false">
      <c r="A13" s="4" t="s">
        <v>223</v>
      </c>
      <c r="B13" s="25" t="n">
        <f aca="false">Hypothèses!$C$11*Hypothèses!$C$12</f>
        <v>528</v>
      </c>
      <c r="C13" s="25" t="n">
        <f aca="false">Hypothèses!$D$11*Hypothèses!$D$12</f>
        <v>792</v>
      </c>
      <c r="D13" s="25" t="n">
        <f aca="false">Hypothèses!$E$11*Hypothèses!$E$12</f>
        <v>1056</v>
      </c>
      <c r="E13" s="26" t="s">
        <v>224</v>
      </c>
    </row>
    <row r="14" customFormat="false" ht="15" hidden="false" customHeight="false" outlineLevel="0" collapsed="false">
      <c r="A14" s="4" t="s">
        <v>70</v>
      </c>
      <c r="B14" s="25" t="n">
        <f aca="false">Hypothèses!$C$13*Hypothèses!$C$14/100*Hypothèses!$C$15</f>
        <v>1760.54</v>
      </c>
      <c r="C14" s="25" t="n">
        <f aca="false">Hypothèses!$D$13*Hypothèses!$D$14/100*Hypothèses!$D$15</f>
        <v>2031.062</v>
      </c>
      <c r="D14" s="25" t="n">
        <f aca="false">Hypothèses!$E$13*Hypothèses!$E$14/100*Hypothèses!$E$15</f>
        <v>2318.76</v>
      </c>
      <c r="E14" s="26" t="s">
        <v>225</v>
      </c>
    </row>
    <row r="15" customFormat="false" ht="15" hidden="false" customHeight="false" outlineLevel="0" collapsed="false">
      <c r="A15" s="4" t="s">
        <v>74</v>
      </c>
      <c r="B15" s="25" t="n">
        <f aca="false">Hypothèses!$C$16</f>
        <v>0</v>
      </c>
      <c r="C15" s="25" t="n">
        <f aca="false">Hypothèses!$D$16</f>
        <v>750</v>
      </c>
      <c r="D15" s="25" t="n">
        <f aca="false">Hypothèses!$E$16</f>
        <v>1500</v>
      </c>
      <c r="E15" s="26" t="s">
        <v>226</v>
      </c>
    </row>
    <row r="16" customFormat="false" ht="15" hidden="false" customHeight="false" outlineLevel="0" collapsed="false">
      <c r="A16" s="12" t="s">
        <v>227</v>
      </c>
      <c r="B16" s="27" t="n">
        <f aca="false">SUM(B10:B15)</f>
        <v>6098.54</v>
      </c>
      <c r="C16" s="27" t="n">
        <f aca="false">SUM(C10:C15)</f>
        <v>10373.062</v>
      </c>
      <c r="D16" s="27" t="n">
        <f aca="false">SUM(D10:D15)</f>
        <v>13211.76</v>
      </c>
      <c r="E16" s="26" t="s">
        <v>215</v>
      </c>
    </row>
    <row r="17" customFormat="false" ht="15" hidden="false" customHeight="false" outlineLevel="0" collapsed="false">
      <c r="A17" s="10" t="s">
        <v>228</v>
      </c>
      <c r="B17" s="11"/>
      <c r="C17" s="11"/>
      <c r="D17" s="11"/>
      <c r="E17" s="11"/>
    </row>
    <row r="18" customFormat="false" ht="15" hidden="false" customHeight="false" outlineLevel="0" collapsed="false">
      <c r="A18" s="4" t="s">
        <v>229</v>
      </c>
      <c r="B18" s="25" t="n">
        <f aca="false">B16*Hypothèses!$C$3</f>
        <v>12197.08</v>
      </c>
      <c r="C18" s="25" t="n">
        <f aca="false">C16*Hypothèses!$D$3</f>
        <v>20746.124</v>
      </c>
      <c r="D18" s="25" t="n">
        <f aca="false">D16*Hypothèses!$E$3</f>
        <v>26423.52</v>
      </c>
      <c r="E18" s="26" t="s">
        <v>230</v>
      </c>
    </row>
    <row r="19" customFormat="false" ht="15" hidden="false" customHeight="false" outlineLevel="0" collapsed="false">
      <c r="A19" s="4" t="s">
        <v>231</v>
      </c>
      <c r="B19" s="25" t="n">
        <f aca="false">Hypothèses!$C$4/Hypothèses!$C$8</f>
        <v>0</v>
      </c>
      <c r="C19" s="25" t="n">
        <f aca="false">Hypothèses!$D$4/Hypothèses!$D$8</f>
        <v>240</v>
      </c>
      <c r="D19" s="25" t="n">
        <f aca="false">Hypothèses!$E$4/Hypothèses!$E$8</f>
        <v>240</v>
      </c>
      <c r="E19" s="26" t="s">
        <v>232</v>
      </c>
    </row>
    <row r="20" customFormat="false" ht="26.85" hidden="false" customHeight="false" outlineLevel="0" collapsed="false">
      <c r="A20" s="6" t="s">
        <v>233</v>
      </c>
      <c r="B20" s="28" t="n">
        <f aca="false">B18+B19</f>
        <v>12197.08</v>
      </c>
      <c r="C20" s="28" t="n">
        <f aca="false">C18+C19</f>
        <v>20986.124</v>
      </c>
      <c r="D20" s="28" t="n">
        <f aca="false">D18+D19</f>
        <v>26663.52</v>
      </c>
      <c r="E20" s="26" t="s">
        <v>234</v>
      </c>
    </row>
    <row r="21" customFormat="false" ht="15" hidden="false" customHeight="false" outlineLevel="0" collapsed="false">
      <c r="A21" s="4" t="s">
        <v>235</v>
      </c>
      <c r="B21" s="25" t="n">
        <f aca="false">B7/Hypothèses!$C$8</f>
        <v>1160</v>
      </c>
      <c r="C21" s="25" t="n">
        <f aca="false">C7/Hypothèses!$D$8</f>
        <v>1480</v>
      </c>
      <c r="D21" s="25" t="n">
        <f aca="false">D7/Hypothèses!$E$8</f>
        <v>1800</v>
      </c>
      <c r="E21" s="26" t="s">
        <v>236</v>
      </c>
    </row>
    <row r="22" customFormat="false" ht="15" hidden="false" customHeight="false" outlineLevel="0" collapsed="false">
      <c r="A22" s="12" t="s">
        <v>237</v>
      </c>
      <c r="B22" s="27" t="n">
        <f aca="false">B20+B21</f>
        <v>13357.08</v>
      </c>
      <c r="C22" s="27" t="n">
        <f aca="false">C20+C21</f>
        <v>22466.124</v>
      </c>
      <c r="D22" s="27" t="n">
        <f aca="false">D20+D21</f>
        <v>28463.52</v>
      </c>
      <c r="E22" s="26" t="s">
        <v>219</v>
      </c>
    </row>
    <row r="23" customFormat="false" ht="15" hidden="false" customHeight="false" outlineLevel="0" collapsed="false">
      <c r="A23" s="10" t="s">
        <v>238</v>
      </c>
      <c r="B23" s="11"/>
      <c r="C23" s="11"/>
      <c r="D23" s="11"/>
      <c r="E23" s="11"/>
    </row>
    <row r="24" customFormat="false" ht="15" hidden="false" customHeight="false" outlineLevel="0" collapsed="false">
      <c r="A24" s="4" t="s">
        <v>239</v>
      </c>
      <c r="B24" s="25" t="n">
        <f aca="false">B6</f>
        <v>32000</v>
      </c>
      <c r="C24" s="25" t="n">
        <f aca="false">C6</f>
        <v>58180</v>
      </c>
      <c r="D24" s="25" t="n">
        <f aca="false">D6</f>
        <v>62200</v>
      </c>
      <c r="E24" s="26" t="s">
        <v>240</v>
      </c>
    </row>
    <row r="25" customFormat="false" ht="15" hidden="false" customHeight="false" outlineLevel="0" collapsed="false">
      <c r="A25" s="4" t="s">
        <v>241</v>
      </c>
      <c r="B25" s="25" t="n">
        <f aca="false">(B12+B13+B14+B15)*Hypothèses!$C$3</f>
        <v>5797.08</v>
      </c>
      <c r="C25" s="25" t="n">
        <f aca="false">(C12+C13+C14+C15)*Hypothèses!$D$3</f>
        <v>9350.124</v>
      </c>
      <c r="D25" s="25" t="n">
        <f aca="false">(D12+D13+D14+D15)*Hypothèses!$E$3</f>
        <v>14223.52</v>
      </c>
      <c r="E25" s="26" t="s">
        <v>242</v>
      </c>
    </row>
    <row r="26" customFormat="false" ht="15" hidden="false" customHeight="false" outlineLevel="0" collapsed="false">
      <c r="A26" s="12" t="s">
        <v>17</v>
      </c>
      <c r="B26" s="27" t="n">
        <f aca="false">B24+B25</f>
        <v>37797.08</v>
      </c>
      <c r="C26" s="27" t="n">
        <f aca="false">C24+C25</f>
        <v>67530.124</v>
      </c>
      <c r="D26" s="27" t="n">
        <f aca="false">D24+D25</f>
        <v>76423.52</v>
      </c>
      <c r="E26" s="26" t="s">
        <v>243</v>
      </c>
    </row>
    <row r="27" customFormat="false" ht="15" hidden="false" customHeight="false" outlineLevel="0" collapsed="false">
      <c r="A27" s="10" t="s">
        <v>244</v>
      </c>
      <c r="B27" s="11"/>
      <c r="C27" s="11"/>
      <c r="D27" s="11"/>
      <c r="E27" s="11"/>
    </row>
    <row r="28" customFormat="false" ht="15" hidden="false" customHeight="false" outlineLevel="0" collapsed="false">
      <c r="A28" s="4" t="s">
        <v>245</v>
      </c>
      <c r="B28" s="25" t="n">
        <f aca="false">Hypothèses!$C$21</f>
        <v>10000</v>
      </c>
      <c r="C28" s="25" t="n">
        <f aca="false">Hypothèses!$D$21</f>
        <v>10000</v>
      </c>
      <c r="D28" s="25" t="n">
        <f aca="false">Hypothèses!$E$21</f>
        <v>10000</v>
      </c>
      <c r="E28" s="26" t="s">
        <v>186</v>
      </c>
    </row>
    <row r="29" customFormat="false" ht="15" hidden="false" customHeight="false" outlineLevel="0" collapsed="false">
      <c r="A29" s="4" t="s">
        <v>246</v>
      </c>
      <c r="B29" s="25" t="n">
        <f aca="false">Hypothèses!$C$22</f>
        <v>9000</v>
      </c>
      <c r="C29" s="25" t="n">
        <f aca="false">Hypothèses!$D$22</f>
        <v>9000</v>
      </c>
      <c r="D29" s="25" t="n">
        <f aca="false">Hypothèses!$E$22</f>
        <v>9000</v>
      </c>
      <c r="E29" s="26" t="s">
        <v>190</v>
      </c>
    </row>
    <row r="30" customFormat="false" ht="15" hidden="false" customHeight="false" outlineLevel="0" collapsed="false">
      <c r="A30" s="4" t="s">
        <v>247</v>
      </c>
      <c r="B30" s="25" t="n">
        <f aca="false">Hypothèses!$C$23</f>
        <v>8520</v>
      </c>
      <c r="C30" s="25" t="n">
        <f aca="false">Hypothèses!$D$23</f>
        <v>8520</v>
      </c>
      <c r="D30" s="25" t="n">
        <f aca="false">Hypothèses!$E$23</f>
        <v>8520</v>
      </c>
      <c r="E30" s="26" t="s">
        <v>195</v>
      </c>
    </row>
    <row r="31" customFormat="false" ht="15" hidden="false" customHeight="false" outlineLevel="0" collapsed="false">
      <c r="A31" s="4" t="s">
        <v>248</v>
      </c>
      <c r="B31" s="25" t="n">
        <f aca="false">Hypothèses!$C$25</f>
        <v>8400</v>
      </c>
      <c r="C31" s="25" t="n">
        <f aca="false">Hypothèses!$D$25</f>
        <v>9600</v>
      </c>
      <c r="D31" s="25" t="n">
        <f aca="false">Hypothèses!$E$25</f>
        <v>10800</v>
      </c>
      <c r="E31" s="26" t="s">
        <v>249</v>
      </c>
    </row>
    <row r="32" customFormat="false" ht="26.85" hidden="false" customHeight="false" outlineLevel="0" collapsed="false">
      <c r="A32" s="12" t="s">
        <v>250</v>
      </c>
      <c r="B32" s="27" t="n">
        <f aca="false">B28-B16</f>
        <v>3901.46</v>
      </c>
      <c r="C32" s="27" t="n">
        <f aca="false">C28-C16</f>
        <v>-373.062</v>
      </c>
      <c r="D32" s="27" t="n">
        <f aca="false">D28-D16</f>
        <v>-3211.76</v>
      </c>
      <c r="E32" s="26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2026-10-20T12:45:37Z</dcterms:created>
  <dc:creator>openpyxl</dc:creator>
  <dc:description/>
  <dc:language>en-US</dc:language>
  <cp:lastModifiedBy/>
  <dcterms:modified xsi:type="dcterms:W3CDTF">2026-10-20T12:45:37Z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
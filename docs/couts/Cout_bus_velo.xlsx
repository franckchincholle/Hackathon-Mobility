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ustification" sheetId="1" state="visible" r:id="rId3"/>
    <sheet name="Hypothèses" sheetId="2" state="visible" r:id="rId4"/>
    <sheet name="Calcul"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<sst xmlns="http://schemas.openxmlformats.org/spreadsheetml/2006/main" count="195" uniqueCount="146">
  <si>
    <t xml:space="preserve">Coûts des arrêts de bus et des stations vélo — d’où viennent les chiffres</t>
  </si>
  <si>
    <t xml:space="preserve">Même principe que pour Citiz : aucun jeu de données ouvert ne donne ces coûts. On part de documents publics, on calcule un coût annuel complet (comparable au coût annuel d’une station Citiz), puis on vérifie avec d’autres repères.</t>
  </si>
  <si>
    <t xml:space="preserve">Chiffre</t>
  </si>
  <si>
    <t xml:space="preserve">Valeur (défaut)</t>
  </si>
  <si>
    <t xml:space="preserve">D’où il vient</t>
  </si>
  <si>
    <t xml:space="preserve">Comment on l’obtient</t>
  </si>
  <si>
    <t xml:space="preserve">ARRÊT DE BUS</t>
  </si>
  <si>
    <t xml:space="preserve">Coût d’installation</t>
  </si>
  <si>
    <t xml:space="preserve">10 950 €</t>
  </si>
  <si>
    <t xml:space="preserve">Chiffrage de voirie d’une commune belge (Fléron, 2023)</t>
  </si>
  <si>
    <t xml:space="preserve">Arrêt accessible 8 750 € + abribus 2 200 €. Bas : 5 500 € (quai simple). Haut : 31 500 € (moyenne par arrêt de la mise en accessibilité à Marseille : 83,5 M€ ÷ 2 650 arrêts).</t>
  </si>
  <si>
    <t xml:space="preserve">Vérification</t>
  </si>
  <si>
    <t xml:space="preserve">≈ 6 760 €</t>
  </si>
  <si>
    <t xml:space="preserve">Délibération d’Annemasse Agglo (2025)</t>
  </si>
  <si>
    <t xml:space="preserve">2 quais accessibles avec abribus ≈ 13 500 € : le chiffre tombe bien dans notre fourchette.</t>
  </si>
  <si>
    <t xml:space="preserve">Durée de vie</t>
  </si>
  <si>
    <t xml:space="preserve">20 ans</t>
  </si>
  <si>
    <t xml:space="preserve">Durée comptable des « installations de voirie » dans les budgets communaux</t>
  </si>
  <si>
    <t xml:space="preserve">Durée officielle utilisée par les collectivités pour amortir ce type d’aménagement.</t>
  </si>
  <si>
    <t xml:space="preserve">Coût annuel</t>
  </si>
  <si>
    <t xml:space="preserve">548 €</t>
  </si>
  <si>
    <t xml:space="preserve">Calcul</t>
  </si>
  <si>
    <t xml:space="preserve">10 950 € ÷ 20 ans. Pas de coût de bus en plus : on ajoute un arrêt sur une ligne qui passe déjà.</t>
  </si>
  <si>
    <t xml:space="preserve">STATION VÉLO</t>
  </si>
  <si>
    <t xml:space="preserve">Contrat VélôToulouse</t>
  </si>
  <si>
    <t xml:space="preserve">97 M€ sur 12 ans</t>
  </si>
  <si>
    <t xml:space="preserve">Contrat signé par Toulouse avec JCDecaux en 2023 (France Bleu, JCDecaux)</t>
  </si>
  <si>
    <t xml:space="preserve">Coût réel payé à Toulouse aujourd’hui, pour 3 300 vélos (dont la moitié électriques) et 400 stations.</t>
  </si>
  <si>
    <t xml:space="preserve">Coût par vélo et par an</t>
  </si>
  <si>
    <t xml:space="preserve">2 449 €</t>
  </si>
  <si>
    <t xml:space="preserve">97 M€ ÷ 12 ans ÷ 3 300 vélos. Bas : 2 113 € si le contrat passe à 3 825 vélos. Haut : 3 000 € (haut de la fourchette nationale du GART).</t>
  </si>
  <si>
    <t xml:space="preserve">Coût annuel d’une station</t>
  </si>
  <si>
    <t xml:space="preserve">24 495 €</t>
  </si>
  <si>
    <t xml:space="preserve">2 449 € × 10 vélos (taille choisie par l’équipe ; la moyenne toulousaine est de 8,25 vélos par station).</t>
  </si>
  <si>
    <t xml:space="preserve">2 000 à 3 000 €</t>
  </si>
  <si>
    <t xml:space="preserve">Ancien contrat VélôToulouse (~2013) et enquête nationale du GART</t>
  </si>
  <si>
    <t xml:space="preserve">Notre 2 449 € est dans la fourchette, et un peu au-dessus de l’ancien contrat toulousain (2 000 €) : logique, la moitié des vélos sont maintenant électriques.</t>
  </si>
  <si>
    <t xml:space="preserve">À RETENIR</t>
  </si>
  <si>
    <t xml:space="preserve">Comparaison</t>
  </si>
  <si>
    <t xml:space="preserve">Bus 548 € / Citiz 19 486 € / Vélo 24 495 € par an</t>
  </si>
  <si>
    <t xml:space="preserve">—</t>
  </si>
  <si>
    <t xml:space="preserve">Ajouter un arrêt est de loin le moins cher, mais ce n’est possible que là où une ligne passe déjà : pour le bus, la contrainte est l’emplacement, pas le coût.</t>
  </si>
  <si>
    <t xml:space="preserve">Calculs détaillés : onglet « Calcul ». Citations exactes et liens : onglet « Hypothèses ».</t>
  </si>
  <si>
    <t xml:space="preserve">Réf</t>
  </si>
  <si>
    <t xml:space="preserve">Paramètre</t>
  </si>
  <si>
    <t xml:space="preserve">Valeur</t>
  </si>
  <si>
    <t xml:space="preserve">Unité</t>
  </si>
  <si>
    <t xml:space="preserve">Type</t>
  </si>
  <si>
    <t xml:space="preserve">Citation exacte ou justification</t>
  </si>
  <si>
    <t xml:space="preserve">Lien vers la source</t>
  </si>
  <si>
    <t xml:space="preserve">Date</t>
  </si>
  <si>
    <t xml:space="preserve">ARRÊT DE BUS (ajouté sur une ligne existante)</t>
  </si>
  <si>
    <t xml:space="preserve">B1</t>
  </si>
  <si>
    <t xml:space="preserve">Quai bus en avancée de trottoir</t>
  </si>
  <si>
    <t xml:space="preserve">€ HT par arrêt</t>
  </si>
  <si>
    <t xml:space="preserve">Sourcé</t>
  </si>
  <si>
    <t xml:space="preserve">« quai bus en avancée ou extension de trottoir 5.500,00 » (chiffrage de voirie, Fléron, Belgique)</t>
  </si>
  <si>
    <t xml:space="preserve">Ouvrir la source</t>
  </si>
  <si>
    <t xml:space="preserve">2023</t>
  </si>
  <si>
    <t xml:space="preserve">B2</t>
  </si>
  <si>
    <t xml:space="preserve">Aménagement d’un arrêt accessible (PMR)</t>
  </si>
  <si>
    <t xml:space="preserve">« Aménagement des arrêts bus PMR* 8.750,00 »</t>
  </si>
  <si>
    <t xml:space="preserve">B3</t>
  </si>
  <si>
    <t xml:space="preserve">Abribus</t>
  </si>
  <si>
    <t xml:space="preserve">« aménagement d’un abribus […] 2200 € sans subvention »</t>
  </si>
  <si>
    <t xml:space="preserve">B4</t>
  </si>
  <si>
    <t xml:space="preserve">Mise en accessibilité du réseau de Marseille</t>
  </si>
  <si>
    <t xml:space="preserve">€ pour le réseau</t>
  </si>
  <si>
    <t xml:space="preserve">« Des travaux dont le coût était chiffré à 83,5 millions d’euros sur 10 ans »</t>
  </si>
  <si>
    <t xml:space="preserve">2016</t>
  </si>
  <si>
    <t xml:space="preserve">B5</t>
  </si>
  <si>
    <t xml:space="preserve">Nombre d’arrêts concernés à Marseille</t>
  </si>
  <si>
    <t xml:space="preserve">arrêts</t>
  </si>
  <si>
    <t xml:space="preserve">« plus de 150 arrêts de BHNS et presque 2 500 autres arrêts de bus » : 150 + 2 500</t>
  </si>
  <si>
    <t xml:space="preserve">B6</t>
  </si>
  <si>
    <t xml:space="preserve">Durée d’amortissement d’un arrêt</t>
  </si>
  <si>
    <t xml:space="preserve">ans</t>
  </si>
  <si>
    <t xml:space="preserve">Durée comptable des « Installations de voirie » dans une délibération communale (nomenclature M57) : 20 ans</t>
  </si>
  <si>
    <t xml:space="preserve">B7</t>
  </si>
  <si>
    <t xml:space="preserve">Contrôle : 2 quais accessibles avec abribus (Annemasse)</t>
  </si>
  <si>
    <t xml:space="preserve">€ HT pour 2 arrêts</t>
  </si>
  <si>
    <t xml:space="preserve">Abribus 2 688 € + quai 4 845 € + bordure 5 985 €</t>
  </si>
  <si>
    <t xml:space="preserve">2025</t>
  </si>
  <si>
    <t xml:space="preserve">STATION VÉLO (VélôToulouse)</t>
  </si>
  <si>
    <t xml:space="preserve">V1</t>
  </si>
  <si>
    <t xml:space="preserve">Montant du contrat VélôToulouse</t>
  </si>
  <si>
    <t xml:space="preserve">€ sur toute la durée</t>
  </si>
  <si>
    <t xml:space="preserve">« Le montant du contrat est de 97 millions d’euros pour 12 ans »</t>
  </si>
  <si>
    <t xml:space="preserve">V2</t>
  </si>
  <si>
    <t xml:space="preserve">Durée du contrat</t>
  </si>
  <si>
    <t xml:space="preserve">Contrat de 12 ans signé avec JCDecaux en septembre 2023</t>
  </si>
  <si>
    <t xml:space="preserve">V3</t>
  </si>
  <si>
    <t xml:space="preserve">Vélos en service (déploiement 2024)</t>
  </si>
  <si>
    <t xml:space="preserve">vélos</t>
  </si>
  <si>
    <t xml:space="preserve">« Ce sont 3300 nouveaux vélos » et « 400 stations », dont 50 % à assistance électrique</t>
  </si>
  <si>
    <t xml:space="preserve">2024</t>
  </si>
  <si>
    <t xml:space="preserve">V4</t>
  </si>
  <si>
    <t xml:space="preserve">Vélos après extension possible du contrat</t>
  </si>
  <si>
    <t xml:space="preserve">« may evolve in the future to include the provision of 3,825 bikes and 475 stations »</t>
  </si>
  <si>
    <t xml:space="preserve">V5</t>
  </si>
  <si>
    <t xml:space="preserve">Stations en service (déploiement 2024)</t>
  </si>
  <si>
    <t xml:space="preserve">stations</t>
  </si>
  <si>
    <t xml:space="preserve">« 400 stations ont été déployées »</t>
  </si>
  <si>
    <t xml:space="preserve">V6</t>
  </si>
  <si>
    <t xml:space="preserve">Coût moyen national, haut de fourchette</t>
  </si>
  <si>
    <t xml:space="preserve">€ par vélo et par an</t>
  </si>
  <si>
    <t xml:space="preserve">Enquête du GART : « entre 2.000 et 3.000 euros par vélo et par an » (investissement, exploitation, maintenance)</t>
  </si>
  <si>
    <t xml:space="preserve">2010</t>
  </si>
  <si>
    <t xml:space="preserve">V7</t>
  </si>
  <si>
    <t xml:space="preserve">Vélos par station retenus</t>
  </si>
  <si>
    <t xml:space="preserve">Hypothèse équipe</t>
  </si>
  <si>
    <t xml:space="preserve">Taille type d’une nouvelle station (la moyenne toulousaine est de 3 300 ÷ 400 = 8,25 vélos)</t>
  </si>
  <si>
    <t xml:space="preserve">V8</t>
  </si>
  <si>
    <t xml:space="preserve">Repère : ancien contrat VélôToulouse</t>
  </si>
  <si>
    <t xml:space="preserve">« 4,7 millions d’euros par an, ce qui revient à 2000 euros par vélo et par an »</t>
  </si>
  <si>
    <t xml:space="preserve">vers 2013</t>
  </si>
  <si>
    <t xml:space="preserve">V9</t>
  </si>
  <si>
    <t xml:space="preserve">Repère : achat d’une station neuve de 10 vélos (Mulhouse)</t>
  </si>
  <si>
    <t xml:space="preserve">€ (milieu de 40 000 à 50 000 €)</t>
  </si>
  <si>
    <t xml:space="preserve">« compris entre 40.000€ et 50.000€ pour une station et 10 vélos » (investissement seul)</t>
  </si>
  <si>
    <t xml:space="preserve">Chiffres en bleu = données d’entrée (modifiables). Fond orange = hypothèse de l’équipe.</t>
  </si>
  <si>
    <t xml:space="preserve">Poste</t>
  </si>
  <si>
    <t xml:space="preserve">Bas</t>
  </si>
  <si>
    <t xml:space="preserve">Défaut</t>
  </si>
  <si>
    <t xml:space="preserve">Haut</t>
  </si>
  <si>
    <t xml:space="preserve">Formule</t>
  </si>
  <si>
    <t xml:space="preserve">1. ARRÊT DE BUS : INVESTISSEMENT</t>
  </si>
  <si>
    <t xml:space="preserve">Coût d’installation d’un arrêt</t>
  </si>
  <si>
    <t xml:space="preserve">Bas : quai simple. Défaut : arrêt accessible + abribus. Haut : moyenne Marseille (travaux lourds)</t>
  </si>
  <si>
    <t xml:space="preserve">Contrôle Annemasse, par arrêt</t>
  </si>
  <si>
    <t xml:space="preserve">B7 ÷ 2 : doit tomber dans la fourchette</t>
  </si>
  <si>
    <t xml:space="preserve">2. ARRÊT DE BUS : COÛT ANNUEL</t>
  </si>
  <si>
    <t xml:space="preserve">Coût annuel d’un arrêt (investissement amorti)</t>
  </si>
  <si>
    <t xml:space="preserve">Investissement ÷ 20 ans. Pas de bus supplémentaire : la ligne existe déjà</t>
  </si>
  <si>
    <t xml:space="preserve">3. STATION VÉLO : COÛT PAR VÉLO ET PAR AN</t>
  </si>
  <si>
    <t xml:space="preserve">Coût annuel complet d’un vélo</t>
  </si>
  <si>
    <t xml:space="preserve">Bas : contrat ÷ 12 ans ÷ 3 825 vélos. Défaut : contrat ÷ 12 ans ÷ 3 300 vélos. Haut : GART</t>
  </si>
  <si>
    <t xml:space="preserve">4. STATION VÉLO : COÛT ANNUEL D’UNE STATION</t>
  </si>
  <si>
    <t xml:space="preserve">Coût annuel complet d’une station de 10 vélos</t>
  </si>
  <si>
    <t xml:space="preserve">Coût par vélo × 10</t>
  </si>
  <si>
    <t xml:space="preserve">Pour info : coût annuel moyen d’une station VélôToulouse</t>
  </si>
  <si>
    <t xml:space="preserve">Contrat ÷ 12 ans ÷ 400 stations (8,25 vélos en moyenne)</t>
  </si>
  <si>
    <t xml:space="preserve">5. VÉRIFICATION DU COÛT PAR VÉLO</t>
  </si>
  <si>
    <t xml:space="preserve">Notre défaut doit être proche, un peu plus élevé (vélos électriques)</t>
  </si>
  <si>
    <t xml:space="preserve">Repère : fourchette nationale GART</t>
  </si>
  <si>
    <t xml:space="preserve">2 000 à 3 000 € par vélo et par an</t>
  </si>
</sst>
</file>

<file path=xl/styles.xml><?xml version="1.0" encoding="utf-8"?>
<styleSheet xmlns="http://schemas.openxmlformats.org/spreadsheetml/2006/main">
  <numFmts count="3">
    <numFmt numFmtId="164" formatCode="General"/>
    <numFmt numFmtId="165" formatCode="#,##0&quot; €&quot;;\(#,##0&quot; €)&quot;;\-"/>
    <numFmt numFmtId="166" formatCode="#,##0"/>
  </numFmts>
  <fonts count="14">
    <font>
      <sz val="11"/>
      <color theme="1"/>
      <name val="Calibri"/>
      <family val="2"/>
      <charset val="1"/>
    </font>
    <font>
      <sz val="10"/>
      <name val="Arial"/>
      <family val="0"/>
    </font>
    <font>
      <sz val="10"/>
      <name val="Arial"/>
      <family val="0"/>
    </font>
    <font>
      <sz val="10"/>
      <name val="Arial"/>
      <family val="0"/>
    </font>
    <font>
      <b val="true"/>
      <sz val="14"/>
      <color rgb="FF1F3A93"/>
      <name val="Arial"/>
      <family val="0"/>
      <charset val="1"/>
    </font>
    <font>
      <i val="true"/>
      <sz val="11"/>
      <name val="Arial"/>
      <family val="0"/>
      <charset val="1"/>
    </font>
    <font>
      <b val="true"/>
      <sz val="11"/>
      <color rgb="FFFFFFFF"/>
      <name val="Arial"/>
      <family val="0"/>
      <charset val="1"/>
    </font>
    <font>
      <b val="true"/>
      <sz val="11"/>
      <name val="Arial"/>
      <family val="0"/>
      <charset val="1"/>
    </font>
    <font>
      <sz val="11"/>
      <name val="Arial"/>
      <family val="0"/>
      <charset val="1"/>
    </font>
    <font>
      <sz val="11"/>
      <color rgb="FF0000FF"/>
      <name val="Arial"/>
      <family val="0"/>
      <charset val="1"/>
    </font>
    <font>
      <u val="single"/>
      <sz val="11"/>
      <color rgb="FF0563C1"/>
      <name val="Arial"/>
      <family val="0"/>
      <charset val="1"/>
    </font>
    <font>
      <sz val="11"/>
      <color rgb="FF000000"/>
      <name val="Arial"/>
      <family val="0"/>
      <charset val="1"/>
    </font>
    <font>
      <i val="true"/>
      <sz val="11"/>
      <color rgb="FF555555"/>
      <name val="Arial"/>
      <family val="0"/>
      <charset val="1"/>
    </font>
    <font>
      <b val="true"/>
      <sz val="11"/>
      <color rgb="FF000000"/>
      <name val="Arial"/>
      <family val="0"/>
      <charset val="1"/>
    </font>
  </fonts>
  <fills count="6">
    <fill>
      <patternFill patternType="none"/>
    </fill>
    <fill>
      <patternFill patternType="gray125"/>
    </fill>
    <fill>
      <patternFill patternType="solid">
        <fgColor rgb="FF1F3A93"/>
        <bgColor rgb="FF003366"/>
      </patternFill>
    </fill>
    <fill>
      <patternFill patternType="solid">
        <fgColor rgb="FFE6EBFF"/>
        <bgColor rgb="FFFFFFFF"/>
      </patternFill>
    </fill>
    <fill>
      <patternFill patternType="solid">
        <fgColor rgb="FFFFFF00"/>
        <bgColor rgb="FFFFFF00"/>
      </patternFill>
    </fill>
    <fill>
      <patternFill patternType="solid">
        <fgColor rgb="FFFFF2CC"/>
        <bgColor rgb="FFFFFFFF"/>
      </patternFill>
    </fill>
  </fills>
  <borders count="2">
    <border diagonalUp="false" diagonalDown="false">
      <left/>
      <right/>
      <top/>
      <bottom/>
      <diagonal/>
    </border>
    <border diagonalUp="false" diagonalDown="false">
      <left style="thin">
        <color rgb="FFBFC7E6"/>
      </left>
      <right style="thin">
        <color rgb="FFBFC7E6"/>
      </right>
      <top style="thin">
        <color rgb="FFBFC7E6"/>
      </top>
      <bottom style="thin">
        <color rgb="FFBFC7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6" fontId="9" fillId="5"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6EBFF"/>
      <rgbColor rgb="FF660066"/>
      <rgbColor rgb="FFFF8080"/>
      <rgbColor rgb="FF0563C1"/>
      <rgbColor rgb="FFBFC7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3A93"/>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beyne-heusay.be/sites/default/files/documents/news/Tableau-de-bord%20.pdf" TargetMode="External"/><Relationship Id="rId2" Type="http://schemas.openxmlformats.org/officeDocument/2006/relationships/hyperlink" Target="https://beyne-heusay.be/sites/default/files/documents/news/Tableau-de-bord%20.pdf" TargetMode="External"/><Relationship Id="rId3" Type="http://schemas.openxmlformats.org/officeDocument/2006/relationships/hyperlink" Target="https://beyne-heusay.be/sites/default/files/documents/news/Tableau-de-bord%20.pdf" TargetMode="External"/><Relationship Id="rId4" Type="http://schemas.openxmlformats.org/officeDocument/2006/relationships/hyperlink" Target="https://madeinmarseille.net/urbanisme-marseille/transport-2/12045-rtm-transport-acces-mobilite-reduite/" TargetMode="External"/><Relationship Id="rId5" Type="http://schemas.openxmlformats.org/officeDocument/2006/relationships/hyperlink" Target="https://madeinmarseille.net/urbanisme-marseille/transport-2/12045-rtm-transport-acces-mobilite-reduite/" TargetMode="External"/><Relationship Id="rId6" Type="http://schemas.openxmlformats.org/officeDocument/2006/relationships/hyperlink" Target="https://www.medias.lesparre-medoc.fr/335-Duree-des-amortissements-en-M57.pdf" TargetMode="External"/><Relationship Id="rId7" Type="http://schemas.openxmlformats.org/officeDocument/2006/relationships/hyperlink" Target="https://www.annemasse-agglo.fr/sites/default/files/actes-administratifs/BC_2025_0020.pdf" TargetMode="External"/><Relationship Id="rId8" Type="http://schemas.openxmlformats.org/officeDocument/2006/relationships/hyperlink" Target="https://www.francebleu.fr/infos/transports/velotoulouse-le-marche-renouvele-a-jc-decaux-une-flotte-de-velos-electriques-bientot-deployee-9168605" TargetMode="External"/><Relationship Id="rId9" Type="http://schemas.openxmlformats.org/officeDocument/2006/relationships/hyperlink" Target="https://www.jcdecaux.com/press-releases/jcdecaux-wins-contract-city-toulouses-self-service-bikes-12-years-renewing-its" TargetMode="External"/><Relationship Id="rId10" Type="http://schemas.openxmlformats.org/officeDocument/2006/relationships/hyperlink" Target="https://www.jcdecaux.fr/communiques-de-presse/en-collaboration-avec-tisseo-collectivites-et-toulouse-metropole-jcdecaux" TargetMode="External"/><Relationship Id="rId11" Type="http://schemas.openxmlformats.org/officeDocument/2006/relationships/hyperlink" Target="https://www.jcdecaux.com/press-releases/jcdecaux-wins-contract-city-toulouses-self-service-bikes-12-years-renewing-its" TargetMode="External"/><Relationship Id="rId12" Type="http://schemas.openxmlformats.org/officeDocument/2006/relationships/hyperlink" Target="https://www.jcdecaux.fr/communiques-de-presse/en-collaboration-avec-tisseo-collectivites-et-toulouse-metropole-jcdecaux" TargetMode="External"/><Relationship Id="rId13" Type="http://schemas.openxmlformats.org/officeDocument/2006/relationships/hyperlink" Target="https://www.banquedesterritoires.fr/velos-en-libre-service-un-bilan-coutsavantages-juge-globalement-equilibre" TargetMode="External"/><Relationship Id="rId14" Type="http://schemas.openxmlformats.org/officeDocument/2006/relationships/hyperlink" Target="https://archives.eelv.fr/elusverts.fr/www.toulouse.elusverts.fr/IMG/pdf/Reponse_Philippe_Goirand_Voeu_VLS.pdf" TargetMode="External"/><Relationship Id="rId15" Type="http://schemas.openxmlformats.org/officeDocument/2006/relationships/hyperlink" Target="https://www.m2a.fr/wp-content/uploads/2024/07/2366B.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3" min="3" style="0" width="44"/>
    <col collapsed="false" customWidth="true" hidden="false" outlineLevel="0" max="4" min="4" style="0" width="66"/>
  </cols>
  <sheetData>
    <row r="1" customFormat="false" ht="17.35" hidden="false" customHeight="false" outlineLevel="0" collapsed="false">
      <c r="A1" s="1" t="s">
        <v>0</v>
      </c>
    </row>
    <row r="2" customFormat="false" ht="39.75" hidden="false" customHeight="true" outlineLevel="0" collapsed="false">
      <c r="A2" s="2" t="s">
        <v>1</v>
      </c>
      <c r="B2" s="2"/>
      <c r="C2" s="2"/>
      <c r="D2" s="2"/>
    </row>
    <row r="4" customFormat="false" ht="15" hidden="false" customHeight="false" outlineLevel="0" collapsed="false">
      <c r="A4" s="3" t="s">
        <v>2</v>
      </c>
      <c r="B4" s="3" t="s">
        <v>3</v>
      </c>
      <c r="C4" s="3" t="s">
        <v>4</v>
      </c>
      <c r="D4" s="3" t="s">
        <v>5</v>
      </c>
    </row>
    <row r="5" customFormat="false" ht="15" hidden="false" customHeight="false" outlineLevel="0" collapsed="false">
      <c r="A5" s="4" t="s">
        <v>6</v>
      </c>
      <c r="B5" s="5"/>
      <c r="C5" s="5"/>
      <c r="D5" s="5"/>
    </row>
    <row r="6" customFormat="false" ht="39.55" hidden="false" customHeight="false" outlineLevel="0" collapsed="false">
      <c r="A6" s="6" t="s">
        <v>7</v>
      </c>
      <c r="B6" s="7" t="s">
        <v>8</v>
      </c>
      <c r="C6" s="7" t="s">
        <v>9</v>
      </c>
      <c r="D6" s="7" t="s">
        <v>10</v>
      </c>
    </row>
    <row r="7" customFormat="false" ht="26.85" hidden="false" customHeight="false" outlineLevel="0" collapsed="false">
      <c r="A7" s="6" t="s">
        <v>11</v>
      </c>
      <c r="B7" s="7" t="s">
        <v>12</v>
      </c>
      <c r="C7" s="7" t="s">
        <v>13</v>
      </c>
      <c r="D7" s="7" t="s">
        <v>14</v>
      </c>
    </row>
    <row r="8" customFormat="false" ht="26.85" hidden="false" customHeight="false" outlineLevel="0" collapsed="false">
      <c r="A8" s="6" t="s">
        <v>15</v>
      </c>
      <c r="B8" s="7" t="s">
        <v>16</v>
      </c>
      <c r="C8" s="7" t="s">
        <v>17</v>
      </c>
      <c r="D8" s="7" t="s">
        <v>18</v>
      </c>
    </row>
    <row r="9" customFormat="false" ht="26.85" hidden="false" customHeight="false" outlineLevel="0" collapsed="false">
      <c r="A9" s="8" t="s">
        <v>19</v>
      </c>
      <c r="B9" s="9" t="s">
        <v>20</v>
      </c>
      <c r="C9" s="9" t="s">
        <v>21</v>
      </c>
      <c r="D9" s="9" t="s">
        <v>22</v>
      </c>
    </row>
    <row r="10" customFormat="false" ht="15" hidden="false" customHeight="false" outlineLevel="0" collapsed="false">
      <c r="A10" s="4" t="s">
        <v>23</v>
      </c>
      <c r="B10" s="5"/>
      <c r="C10" s="5"/>
      <c r="D10" s="5"/>
    </row>
    <row r="11" customFormat="false" ht="26.85" hidden="false" customHeight="false" outlineLevel="0" collapsed="false">
      <c r="A11" s="6" t="s">
        <v>24</v>
      </c>
      <c r="B11" s="7" t="s">
        <v>25</v>
      </c>
      <c r="C11" s="7" t="s">
        <v>26</v>
      </c>
      <c r="D11" s="7" t="s">
        <v>27</v>
      </c>
    </row>
    <row r="12" customFormat="false" ht="26.85" hidden="false" customHeight="false" outlineLevel="0" collapsed="false">
      <c r="A12" s="6" t="s">
        <v>28</v>
      </c>
      <c r="B12" s="7" t="s">
        <v>29</v>
      </c>
      <c r="C12" s="7" t="s">
        <v>21</v>
      </c>
      <c r="D12" s="7" t="s">
        <v>30</v>
      </c>
    </row>
    <row r="13" customFormat="false" ht="26.85" hidden="false" customHeight="false" outlineLevel="0" collapsed="false">
      <c r="A13" s="8" t="s">
        <v>31</v>
      </c>
      <c r="B13" s="9" t="s">
        <v>32</v>
      </c>
      <c r="C13" s="9" t="s">
        <v>21</v>
      </c>
      <c r="D13" s="9" t="s">
        <v>33</v>
      </c>
    </row>
    <row r="14" customFormat="false" ht="39.55" hidden="false" customHeight="false" outlineLevel="0" collapsed="false">
      <c r="A14" s="6" t="s">
        <v>11</v>
      </c>
      <c r="B14" s="7" t="s">
        <v>34</v>
      </c>
      <c r="C14" s="7" t="s">
        <v>35</v>
      </c>
      <c r="D14" s="7" t="s">
        <v>36</v>
      </c>
    </row>
    <row r="15" customFormat="false" ht="15" hidden="false" customHeight="false" outlineLevel="0" collapsed="false">
      <c r="A15" s="4" t="s">
        <v>37</v>
      </c>
      <c r="B15" s="5"/>
      <c r="C15" s="5"/>
      <c r="D15" s="5"/>
    </row>
    <row r="16" customFormat="false" ht="39.55" hidden="false" customHeight="false" outlineLevel="0" collapsed="false">
      <c r="A16" s="8" t="s">
        <v>38</v>
      </c>
      <c r="B16" s="9" t="s">
        <v>39</v>
      </c>
      <c r="C16" s="9" t="s">
        <v>40</v>
      </c>
      <c r="D16" s="9" t="s">
        <v>41</v>
      </c>
    </row>
    <row r="18" customFormat="false" ht="15" hidden="false" customHeight="false" outlineLevel="0" collapsed="false">
      <c r="A18" s="10" t="s">
        <v>42</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14"/>
    <col collapsed="false" customWidth="true" hidden="false" outlineLevel="0" max="4" min="4" style="0" width="22"/>
    <col collapsed="false" customWidth="true" hidden="false" outlineLevel="0" max="5" min="5" style="0" width="15"/>
    <col collapsed="false" customWidth="true" hidden="false" outlineLevel="0" max="6" min="6" style="0" width="62"/>
    <col collapsed="false" customWidth="true" hidden="false" outlineLevel="0" max="7" min="7" style="0" width="16"/>
    <col collapsed="false" customWidth="true" hidden="false" outlineLevel="0" max="8" min="8" style="0" width="10"/>
  </cols>
  <sheetData>
    <row r="1" customFormat="false" ht="26.85" hidden="false" customHeight="false" outlineLevel="0" collapsed="false">
      <c r="A1" s="11" t="s">
        <v>43</v>
      </c>
      <c r="B1" s="11" t="s">
        <v>44</v>
      </c>
      <c r="C1" s="11" t="s">
        <v>45</v>
      </c>
      <c r="D1" s="11" t="s">
        <v>46</v>
      </c>
      <c r="E1" s="11" t="s">
        <v>47</v>
      </c>
      <c r="F1" s="11" t="s">
        <v>48</v>
      </c>
      <c r="G1" s="11" t="s">
        <v>49</v>
      </c>
      <c r="H1" s="11" t="s">
        <v>50</v>
      </c>
    </row>
    <row r="2" customFormat="false" ht="15" hidden="false" customHeight="false" outlineLevel="0" collapsed="false">
      <c r="A2" s="4" t="s">
        <v>51</v>
      </c>
      <c r="B2" s="5"/>
      <c r="C2" s="5"/>
      <c r="D2" s="5"/>
      <c r="E2" s="5"/>
      <c r="F2" s="5"/>
      <c r="G2" s="5"/>
      <c r="H2" s="5"/>
    </row>
    <row r="3" customFormat="false" ht="26.85" hidden="false" customHeight="false" outlineLevel="0" collapsed="false">
      <c r="A3" s="7" t="s">
        <v>52</v>
      </c>
      <c r="B3" s="7" t="s">
        <v>53</v>
      </c>
      <c r="C3" s="12" t="n">
        <v>5500</v>
      </c>
      <c r="D3" s="7" t="s">
        <v>54</v>
      </c>
      <c r="E3" s="7" t="s">
        <v>55</v>
      </c>
      <c r="F3" s="7" t="s">
        <v>56</v>
      </c>
      <c r="G3" s="13" t="s">
        <v>57</v>
      </c>
      <c r="H3" s="7" t="s">
        <v>58</v>
      </c>
    </row>
    <row r="4" customFormat="false" ht="26.85" hidden="false" customHeight="false" outlineLevel="0" collapsed="false">
      <c r="A4" s="7" t="s">
        <v>59</v>
      </c>
      <c r="B4" s="7" t="s">
        <v>60</v>
      </c>
      <c r="C4" s="12" t="n">
        <v>8750</v>
      </c>
      <c r="D4" s="7" t="s">
        <v>54</v>
      </c>
      <c r="E4" s="7" t="s">
        <v>55</v>
      </c>
      <c r="F4" s="7" t="s">
        <v>61</v>
      </c>
      <c r="G4" s="13" t="s">
        <v>57</v>
      </c>
      <c r="H4" s="7" t="s">
        <v>58</v>
      </c>
    </row>
    <row r="5" customFormat="false" ht="15" hidden="false" customHeight="false" outlineLevel="0" collapsed="false">
      <c r="A5" s="7" t="s">
        <v>62</v>
      </c>
      <c r="B5" s="7" t="s">
        <v>63</v>
      </c>
      <c r="C5" s="12" t="n">
        <v>2200</v>
      </c>
      <c r="D5" s="7" t="s">
        <v>54</v>
      </c>
      <c r="E5" s="7" t="s">
        <v>55</v>
      </c>
      <c r="F5" s="7" t="s">
        <v>64</v>
      </c>
      <c r="G5" s="13" t="s">
        <v>57</v>
      </c>
      <c r="H5" s="7" t="s">
        <v>58</v>
      </c>
    </row>
    <row r="6" customFormat="false" ht="26.85" hidden="false" customHeight="false" outlineLevel="0" collapsed="false">
      <c r="A6" s="7" t="s">
        <v>65</v>
      </c>
      <c r="B6" s="7" t="s">
        <v>66</v>
      </c>
      <c r="C6" s="12" t="n">
        <v>83500000</v>
      </c>
      <c r="D6" s="7" t="s">
        <v>67</v>
      </c>
      <c r="E6" s="7" t="s">
        <v>55</v>
      </c>
      <c r="F6" s="7" t="s">
        <v>68</v>
      </c>
      <c r="G6" s="13" t="s">
        <v>57</v>
      </c>
      <c r="H6" s="7" t="s">
        <v>69</v>
      </c>
    </row>
    <row r="7" customFormat="false" ht="26.85" hidden="false" customHeight="false" outlineLevel="0" collapsed="false">
      <c r="A7" s="7" t="s">
        <v>70</v>
      </c>
      <c r="B7" s="7" t="s">
        <v>71</v>
      </c>
      <c r="C7" s="14" t="n">
        <v>2650</v>
      </c>
      <c r="D7" s="7" t="s">
        <v>72</v>
      </c>
      <c r="E7" s="7" t="s">
        <v>55</v>
      </c>
      <c r="F7" s="7" t="s">
        <v>73</v>
      </c>
      <c r="G7" s="13" t="s">
        <v>57</v>
      </c>
      <c r="H7" s="7" t="s">
        <v>69</v>
      </c>
    </row>
    <row r="8" customFormat="false" ht="26.85" hidden="false" customHeight="false" outlineLevel="0" collapsed="false">
      <c r="A8" s="7" t="s">
        <v>74</v>
      </c>
      <c r="B8" s="7" t="s">
        <v>75</v>
      </c>
      <c r="C8" s="14" t="n">
        <v>20</v>
      </c>
      <c r="D8" s="7" t="s">
        <v>76</v>
      </c>
      <c r="E8" s="7" t="s">
        <v>55</v>
      </c>
      <c r="F8" s="7" t="s">
        <v>77</v>
      </c>
      <c r="G8" s="13" t="s">
        <v>57</v>
      </c>
      <c r="H8" s="7" t="s">
        <v>58</v>
      </c>
    </row>
    <row r="9" customFormat="false" ht="26.85" hidden="false" customHeight="false" outlineLevel="0" collapsed="false">
      <c r="A9" s="7" t="s">
        <v>78</v>
      </c>
      <c r="B9" s="7" t="s">
        <v>79</v>
      </c>
      <c r="C9" s="12" t="n">
        <v>13518</v>
      </c>
      <c r="D9" s="7" t="s">
        <v>80</v>
      </c>
      <c r="E9" s="7" t="s">
        <v>55</v>
      </c>
      <c r="F9" s="7" t="s">
        <v>81</v>
      </c>
      <c r="G9" s="13" t="s">
        <v>57</v>
      </c>
      <c r="H9" s="7" t="s">
        <v>82</v>
      </c>
    </row>
    <row r="10" customFormat="false" ht="15" hidden="false" customHeight="false" outlineLevel="0" collapsed="false">
      <c r="A10" s="4" t="s">
        <v>83</v>
      </c>
      <c r="B10" s="5"/>
      <c r="C10" s="5"/>
      <c r="D10" s="5"/>
      <c r="E10" s="5"/>
      <c r="F10" s="5"/>
      <c r="G10" s="5"/>
      <c r="H10" s="5"/>
    </row>
    <row r="11" customFormat="false" ht="15" hidden="false" customHeight="false" outlineLevel="0" collapsed="false">
      <c r="A11" s="7" t="s">
        <v>84</v>
      </c>
      <c r="B11" s="7" t="s">
        <v>85</v>
      </c>
      <c r="C11" s="12" t="n">
        <v>97000000</v>
      </c>
      <c r="D11" s="7" t="s">
        <v>86</v>
      </c>
      <c r="E11" s="7" t="s">
        <v>55</v>
      </c>
      <c r="F11" s="7" t="s">
        <v>87</v>
      </c>
      <c r="G11" s="13" t="s">
        <v>57</v>
      </c>
      <c r="H11" s="7" t="s">
        <v>58</v>
      </c>
    </row>
    <row r="12" customFormat="false" ht="15" hidden="false" customHeight="false" outlineLevel="0" collapsed="false">
      <c r="A12" s="7" t="s">
        <v>88</v>
      </c>
      <c r="B12" s="7" t="s">
        <v>89</v>
      </c>
      <c r="C12" s="14" t="n">
        <v>12</v>
      </c>
      <c r="D12" s="7" t="s">
        <v>76</v>
      </c>
      <c r="E12" s="7" t="s">
        <v>55</v>
      </c>
      <c r="F12" s="7" t="s">
        <v>90</v>
      </c>
      <c r="G12" s="13" t="s">
        <v>57</v>
      </c>
      <c r="H12" s="7" t="s">
        <v>58</v>
      </c>
    </row>
    <row r="13" customFormat="false" ht="26.85" hidden="false" customHeight="false" outlineLevel="0" collapsed="false">
      <c r="A13" s="7" t="s">
        <v>91</v>
      </c>
      <c r="B13" s="7" t="s">
        <v>92</v>
      </c>
      <c r="C13" s="14" t="n">
        <v>3300</v>
      </c>
      <c r="D13" s="7" t="s">
        <v>93</v>
      </c>
      <c r="E13" s="7" t="s">
        <v>55</v>
      </c>
      <c r="F13" s="7" t="s">
        <v>94</v>
      </c>
      <c r="G13" s="13" t="s">
        <v>57</v>
      </c>
      <c r="H13" s="7" t="s">
        <v>95</v>
      </c>
    </row>
    <row r="14" customFormat="false" ht="26.85" hidden="false" customHeight="false" outlineLevel="0" collapsed="false">
      <c r="A14" s="7" t="s">
        <v>96</v>
      </c>
      <c r="B14" s="7" t="s">
        <v>97</v>
      </c>
      <c r="C14" s="14" t="n">
        <v>3825</v>
      </c>
      <c r="D14" s="7" t="s">
        <v>93</v>
      </c>
      <c r="E14" s="7" t="s">
        <v>55</v>
      </c>
      <c r="F14" s="7" t="s">
        <v>98</v>
      </c>
      <c r="G14" s="13" t="s">
        <v>57</v>
      </c>
      <c r="H14" s="7" t="s">
        <v>58</v>
      </c>
    </row>
    <row r="15" customFormat="false" ht="26.85" hidden="false" customHeight="false" outlineLevel="0" collapsed="false">
      <c r="A15" s="7" t="s">
        <v>99</v>
      </c>
      <c r="B15" s="7" t="s">
        <v>100</v>
      </c>
      <c r="C15" s="14" t="n">
        <v>400</v>
      </c>
      <c r="D15" s="7" t="s">
        <v>101</v>
      </c>
      <c r="E15" s="7" t="s">
        <v>55</v>
      </c>
      <c r="F15" s="7" t="s">
        <v>102</v>
      </c>
      <c r="G15" s="13" t="s">
        <v>57</v>
      </c>
      <c r="H15" s="7" t="s">
        <v>95</v>
      </c>
    </row>
    <row r="16" customFormat="false" ht="26.85" hidden="false" customHeight="false" outlineLevel="0" collapsed="false">
      <c r="A16" s="7" t="s">
        <v>103</v>
      </c>
      <c r="B16" s="7" t="s">
        <v>104</v>
      </c>
      <c r="C16" s="12" t="n">
        <v>3000</v>
      </c>
      <c r="D16" s="7" t="s">
        <v>105</v>
      </c>
      <c r="E16" s="7" t="s">
        <v>55</v>
      </c>
      <c r="F16" s="7" t="s">
        <v>106</v>
      </c>
      <c r="G16" s="13" t="s">
        <v>57</v>
      </c>
      <c r="H16" s="7" t="s">
        <v>107</v>
      </c>
    </row>
    <row r="17" customFormat="false" ht="26.85" hidden="false" customHeight="false" outlineLevel="0" collapsed="false">
      <c r="A17" s="15" t="s">
        <v>108</v>
      </c>
      <c r="B17" s="15" t="s">
        <v>109</v>
      </c>
      <c r="C17" s="16" t="n">
        <v>10</v>
      </c>
      <c r="D17" s="15" t="s">
        <v>93</v>
      </c>
      <c r="E17" s="15" t="s">
        <v>110</v>
      </c>
      <c r="F17" s="15" t="s">
        <v>111</v>
      </c>
      <c r="G17" s="15" t="s">
        <v>40</v>
      </c>
      <c r="H17" s="15" t="s">
        <v>40</v>
      </c>
    </row>
    <row r="18" customFormat="false" ht="26.85" hidden="false" customHeight="false" outlineLevel="0" collapsed="false">
      <c r="A18" s="7" t="s">
        <v>112</v>
      </c>
      <c r="B18" s="7" t="s">
        <v>113</v>
      </c>
      <c r="C18" s="12" t="n">
        <v>2000</v>
      </c>
      <c r="D18" s="7" t="s">
        <v>105</v>
      </c>
      <c r="E18" s="7" t="s">
        <v>55</v>
      </c>
      <c r="F18" s="7" t="s">
        <v>114</v>
      </c>
      <c r="G18" s="13" t="s">
        <v>57</v>
      </c>
      <c r="H18" s="7" t="s">
        <v>115</v>
      </c>
    </row>
    <row r="19" customFormat="false" ht="26.85" hidden="false" customHeight="false" outlineLevel="0" collapsed="false">
      <c r="A19" s="7" t="s">
        <v>116</v>
      </c>
      <c r="B19" s="7" t="s">
        <v>117</v>
      </c>
      <c r="C19" s="12" t="n">
        <v>45000</v>
      </c>
      <c r="D19" s="7" t="s">
        <v>118</v>
      </c>
      <c r="E19" s="7" t="s">
        <v>55</v>
      </c>
      <c r="F19" s="7" t="s">
        <v>119</v>
      </c>
      <c r="G19" s="13" t="s">
        <v>57</v>
      </c>
      <c r="H19" s="7" t="s">
        <v>95</v>
      </c>
    </row>
    <row r="21" customFormat="false" ht="15" hidden="false" customHeight="false" outlineLevel="0" collapsed="false">
      <c r="A21" s="10" t="s">
        <v>120</v>
      </c>
    </row>
  </sheetData>
  <hyperlinks>
    <hyperlink ref="G3" r:id="rId1" display="Ouvrir la source"/>
    <hyperlink ref="G4" r:id="rId2" display="Ouvrir la source"/>
    <hyperlink ref="G5" r:id="rId3" display="Ouvrir la source"/>
    <hyperlink ref="G6" r:id="rId4" display="Ouvrir la source"/>
    <hyperlink ref="G7" r:id="rId5" display="Ouvrir la source"/>
    <hyperlink ref="G8" r:id="rId6" display="Ouvrir la source"/>
    <hyperlink ref="G9" r:id="rId7" display="Ouvrir la source"/>
    <hyperlink ref="G11" r:id="rId8" display="Ouvrir la source"/>
    <hyperlink ref="G12" r:id="rId9" display="Ouvrir la source"/>
    <hyperlink ref="G13" r:id="rId10" display="Ouvrir la source"/>
    <hyperlink ref="G14" r:id="rId11" display="Ouvrir la source"/>
    <hyperlink ref="G15" r:id="rId12" display="Ouvrir la source"/>
    <hyperlink ref="G16" r:id="rId13" display="Ouvrir la source"/>
    <hyperlink ref="G18" r:id="rId14" display="Ouvrir la source"/>
    <hyperlink ref="G19" r:id="rId15" display="Ouvrir la sour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4" min="2" style="0" width="14"/>
    <col collapsed="false" customWidth="true" hidden="false" outlineLevel="0" max="5" min="5" style="0" width="62"/>
  </cols>
  <sheetData>
    <row r="1" customFormat="false" ht="15" hidden="false" customHeight="false" outlineLevel="0" collapsed="false">
      <c r="A1" s="3" t="s">
        <v>121</v>
      </c>
      <c r="B1" s="3" t="s">
        <v>122</v>
      </c>
      <c r="C1" s="3" t="s">
        <v>123</v>
      </c>
      <c r="D1" s="3" t="s">
        <v>124</v>
      </c>
      <c r="E1" s="3" t="s">
        <v>125</v>
      </c>
    </row>
    <row r="2" customFormat="false" ht="15" hidden="false" customHeight="false" outlineLevel="0" collapsed="false">
      <c r="A2" s="4" t="s">
        <v>126</v>
      </c>
      <c r="B2" s="5"/>
      <c r="C2" s="5"/>
      <c r="D2" s="5"/>
      <c r="E2" s="5"/>
    </row>
    <row r="3" customFormat="false" ht="26.85" hidden="false" customHeight="false" outlineLevel="0" collapsed="false">
      <c r="A3" s="7" t="s">
        <v>127</v>
      </c>
      <c r="B3" s="17" t="n">
        <f aca="false">Hypothèses!$C$3</f>
        <v>5500</v>
      </c>
      <c r="C3" s="17" t="n">
        <f aca="false">Hypothèses!$C$4+Hypothèses!$C$5</f>
        <v>10950</v>
      </c>
      <c r="D3" s="17" t="n">
        <f aca="false">Hypothèses!$C$6/Hypothèses!$C$7</f>
        <v>31509.4339622642</v>
      </c>
      <c r="E3" s="18" t="s">
        <v>128</v>
      </c>
    </row>
    <row r="4" customFormat="false" ht="15" hidden="false" customHeight="false" outlineLevel="0" collapsed="false">
      <c r="A4" s="7" t="s">
        <v>129</v>
      </c>
      <c r="B4" s="17" t="n">
        <f aca="false">Hypothèses!$C$9/2</f>
        <v>6759</v>
      </c>
      <c r="C4" s="17" t="n">
        <f aca="false">Hypothèses!$C$9/2</f>
        <v>6759</v>
      </c>
      <c r="D4" s="17" t="n">
        <f aca="false">Hypothèses!$C$9/2</f>
        <v>6759</v>
      </c>
      <c r="E4" s="18" t="s">
        <v>130</v>
      </c>
    </row>
    <row r="5" customFormat="false" ht="15" hidden="false" customHeight="false" outlineLevel="0" collapsed="false">
      <c r="A5" s="4" t="s">
        <v>131</v>
      </c>
      <c r="B5" s="5"/>
      <c r="C5" s="5"/>
      <c r="D5" s="5"/>
      <c r="E5" s="5"/>
    </row>
    <row r="6" customFormat="false" ht="26.85" hidden="false" customHeight="false" outlineLevel="0" collapsed="false">
      <c r="A6" s="8" t="s">
        <v>132</v>
      </c>
      <c r="B6" s="19" t="n">
        <f aca="false">B3/Hypothèses!$C$8</f>
        <v>275</v>
      </c>
      <c r="C6" s="19" t="n">
        <f aca="false">C3/Hypothèses!$C$8</f>
        <v>547.5</v>
      </c>
      <c r="D6" s="19" t="n">
        <f aca="false">D3/Hypothèses!$C$8</f>
        <v>1575.47169811321</v>
      </c>
      <c r="E6" s="18" t="s">
        <v>133</v>
      </c>
    </row>
    <row r="7" customFormat="false" ht="15" hidden="false" customHeight="false" outlineLevel="0" collapsed="false">
      <c r="A7" s="4" t="s">
        <v>134</v>
      </c>
      <c r="B7" s="5"/>
      <c r="C7" s="5"/>
      <c r="D7" s="5"/>
      <c r="E7" s="5"/>
    </row>
    <row r="8" customFormat="false" ht="26.85" hidden="false" customHeight="false" outlineLevel="0" collapsed="false">
      <c r="A8" s="7" t="s">
        <v>135</v>
      </c>
      <c r="B8" s="17" t="n">
        <f aca="false">Hypothèses!$C$11/Hypothèses!$C$12/Hypothèses!$C$14</f>
        <v>2113.28976034858</v>
      </c>
      <c r="C8" s="17" t="n">
        <f aca="false">Hypothèses!$C$11/Hypothèses!$C$12/Hypothèses!$C$13</f>
        <v>2449.49494949495</v>
      </c>
      <c r="D8" s="17" t="n">
        <f aca="false">Hypothèses!$C$16</f>
        <v>3000</v>
      </c>
      <c r="E8" s="18" t="s">
        <v>136</v>
      </c>
    </row>
    <row r="9" customFormat="false" ht="15" hidden="false" customHeight="false" outlineLevel="0" collapsed="false">
      <c r="A9" s="4" t="s">
        <v>137</v>
      </c>
      <c r="B9" s="5"/>
      <c r="C9" s="5"/>
      <c r="D9" s="5"/>
      <c r="E9" s="5"/>
    </row>
    <row r="10" customFormat="false" ht="15" hidden="false" customHeight="false" outlineLevel="0" collapsed="false">
      <c r="A10" s="8" t="s">
        <v>138</v>
      </c>
      <c r="B10" s="19" t="n">
        <f aca="false">B8*Hypothèses!$C$17</f>
        <v>21132.8976034858</v>
      </c>
      <c r="C10" s="19" t="n">
        <f aca="false">C8*Hypothèses!$C$17</f>
        <v>24494.9494949495</v>
      </c>
      <c r="D10" s="19" t="n">
        <f aca="false">D8*Hypothèses!$C$17</f>
        <v>30000</v>
      </c>
      <c r="E10" s="18" t="s">
        <v>139</v>
      </c>
    </row>
    <row r="11" customFormat="false" ht="26.85" hidden="false" customHeight="false" outlineLevel="0" collapsed="false">
      <c r="A11" s="7" t="s">
        <v>140</v>
      </c>
      <c r="B11" s="17" t="n">
        <f aca="false">Hypothèses!$C$11/Hypothèses!$C$12/Hypothèses!$C$15</f>
        <v>20208.3333333333</v>
      </c>
      <c r="C11" s="17" t="n">
        <f aca="false">Hypothèses!$C$11/Hypothèses!$C$12/Hypothèses!$C$15</f>
        <v>20208.3333333333</v>
      </c>
      <c r="D11" s="17" t="n">
        <f aca="false">Hypothèses!$C$11/Hypothèses!$C$12/Hypothèses!$C$15</f>
        <v>20208.3333333333</v>
      </c>
      <c r="E11" s="18" t="s">
        <v>141</v>
      </c>
    </row>
    <row r="12" customFormat="false" ht="15" hidden="false" customHeight="false" outlineLevel="0" collapsed="false">
      <c r="A12" s="4" t="s">
        <v>142</v>
      </c>
      <c r="B12" s="5"/>
      <c r="C12" s="5"/>
      <c r="D12" s="5"/>
      <c r="E12" s="5"/>
    </row>
    <row r="13" customFormat="false" ht="26.85" hidden="false" customHeight="false" outlineLevel="0" collapsed="false">
      <c r="A13" s="7" t="s">
        <v>113</v>
      </c>
      <c r="B13" s="17" t="n">
        <f aca="false">Hypothèses!$C$18</f>
        <v>2000</v>
      </c>
      <c r="C13" s="17" t="n">
        <f aca="false">Hypothèses!$C$18</f>
        <v>2000</v>
      </c>
      <c r="D13" s="17" t="n">
        <f aca="false">Hypothèses!$C$18</f>
        <v>2000</v>
      </c>
      <c r="E13" s="18" t="s">
        <v>143</v>
      </c>
    </row>
    <row r="14" customFormat="false" ht="15" hidden="false" customHeight="false" outlineLevel="0" collapsed="false">
      <c r="A14" s="7" t="s">
        <v>144</v>
      </c>
      <c r="B14" s="20" t="n">
        <v>2000</v>
      </c>
      <c r="C14" s="20" t="n">
        <v>2500</v>
      </c>
      <c r="D14" s="17" t="n">
        <f aca="false">Hypothèses!$C$16</f>
        <v>3000</v>
      </c>
      <c r="E14" s="18"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2026-10-20T12:19:34Z</dcterms:created>
  <dc:creator>openpyxl</dc:creator>
  <dc:description/>
  <dc:language>en-US</dc:language>
  <cp:lastModifiedBy/>
  <dcterms:modified xsi:type="dcterms:W3CDTF">2026-10-20T12:19:34Z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